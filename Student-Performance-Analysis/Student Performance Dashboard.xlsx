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ingh\Documents\Data Anlytics Portfolio\Excel Projects\02.Student Performance Analysis\"/>
    </mc:Choice>
  </mc:AlternateContent>
  <xr:revisionPtr revIDLastSave="0" documentId="13_ncr:1_{EF419D21-8732-4F93-B594-4517C6E78D4F}" xr6:coauthVersionLast="47" xr6:coauthVersionMax="47" xr10:uidLastSave="{00000000-0000-0000-0000-000000000000}"/>
  <bookViews>
    <workbookView xWindow="-110" yWindow="-110" windowWidth="19420" windowHeight="11500" activeTab="1" xr2:uid="{6DEBDFAC-9AA4-4FD1-8ADC-B696F9647277}"/>
  </bookViews>
  <sheets>
    <sheet name="Data" sheetId="1" r:id="rId1"/>
    <sheet name="Dashboard" sheetId="3" r:id="rId2"/>
  </sheets>
  <definedNames>
    <definedName name="Slicer_Grade">#N/A</definedName>
    <definedName name="Slicer_Result">#N/A</definedName>
  </definedNames>
  <calcPr calcId="191029"/>
  <pivotCaches>
    <pivotCache cacheId="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1" i="1" l="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29" i="1"/>
  <c r="J28" i="1"/>
  <c r="J27" i="1"/>
  <c r="J26" i="1"/>
  <c r="J25" i="1"/>
  <c r="J24" i="1"/>
  <c r="J23" i="1"/>
  <c r="J22" i="1"/>
  <c r="J21" i="1"/>
  <c r="J20" i="1"/>
  <c r="J19" i="1"/>
  <c r="J18" i="1"/>
  <c r="J17" i="1"/>
  <c r="J16" i="1"/>
  <c r="J15" i="1"/>
  <c r="J14" i="1"/>
  <c r="J13" i="1"/>
  <c r="J12" i="1"/>
  <c r="J11" i="1"/>
  <c r="J10" i="1"/>
  <c r="J9" i="1"/>
  <c r="J8" i="1"/>
  <c r="J7" i="1"/>
  <c r="J6" i="1"/>
  <c r="J5" i="1"/>
  <c r="J4" i="1"/>
  <c r="J3" i="1"/>
  <c r="J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J30" i="1" l="1"/>
</calcChain>
</file>

<file path=xl/sharedStrings.xml><?xml version="1.0" encoding="utf-8"?>
<sst xmlns="http://schemas.openxmlformats.org/spreadsheetml/2006/main" count="90" uniqueCount="87">
  <si>
    <t>Aarav Sharma</t>
  </si>
  <si>
    <t>Ananya Singh</t>
  </si>
  <si>
    <t>Rohan Verma</t>
  </si>
  <si>
    <t>Priya Gupta</t>
  </si>
  <si>
    <t>Aditya Mishra</t>
  </si>
  <si>
    <t>Sneha Yadav</t>
  </si>
  <si>
    <t>Karan Patel</t>
  </si>
  <si>
    <t>Pooja Kumari</t>
  </si>
  <si>
    <t>Rahul Jain</t>
  </si>
  <si>
    <t>Neha Agarwal</t>
  </si>
  <si>
    <t>Arjun Mehta</t>
  </si>
  <si>
    <t>Kavya Nair</t>
  </si>
  <si>
    <t>Vivek Pandey</t>
  </si>
  <si>
    <t>Simran Kaur</t>
  </si>
  <si>
    <t>Mohit Saxena</t>
  </si>
  <si>
    <t>Ritika Srivastava</t>
  </si>
  <si>
    <t>Harsh Tiwari</t>
  </si>
  <si>
    <t>Ishita Choudhary</t>
  </si>
  <si>
    <t>Manish Chauhan</t>
  </si>
  <si>
    <t>Aditi Sharma</t>
  </si>
  <si>
    <t>Saurabh Shukla</t>
  </si>
  <si>
    <t>Nidhi Verma</t>
  </si>
  <si>
    <t>Ayush Tripathi</t>
  </si>
  <si>
    <t>Komal Singh</t>
  </si>
  <si>
    <t>Abhishek Dubey</t>
  </si>
  <si>
    <t>Shreya Goyal</t>
  </si>
  <si>
    <t>Rajat Bansal</t>
  </si>
  <si>
    <t>Tanvi Kapoor</t>
  </si>
  <si>
    <t>Deepak Yadav</t>
  </si>
  <si>
    <t>Megha Joshi</t>
  </si>
  <si>
    <t>Ankit Agarwal</t>
  </si>
  <si>
    <t>Riya Malhotra</t>
  </si>
  <si>
    <t>Varun Khanna</t>
  </si>
  <si>
    <t>Palak Arora</t>
  </si>
  <si>
    <t>Nitin Tyagi</t>
  </si>
  <si>
    <t>Muskan Gupta</t>
  </si>
  <si>
    <t>Siddharth Jain</t>
  </si>
  <si>
    <t>Prachi Mishra</t>
  </si>
  <si>
    <t>Aman Verma</t>
  </si>
  <si>
    <t>Khushi Sharma</t>
  </si>
  <si>
    <t>Rakesh Kumar</t>
  </si>
  <si>
    <t>Divya Singh</t>
  </si>
  <si>
    <t>Yash Patel</t>
  </si>
  <si>
    <t>Sakshi Srivastava</t>
  </si>
  <si>
    <t>Gaurav Pandey</t>
  </si>
  <si>
    <t>Payal Saxena</t>
  </si>
  <si>
    <t>Rohit Sharma</t>
  </si>
  <si>
    <t>Anjali Mehta</t>
  </si>
  <si>
    <t>Mayank Gupta</t>
  </si>
  <si>
    <t>Swati Chauhan</t>
  </si>
  <si>
    <t>Vikas Tiwari</t>
  </si>
  <si>
    <t>Pallavi Jain</t>
  </si>
  <si>
    <t>Akash Yadav</t>
  </si>
  <si>
    <t>Isha Kapoor</t>
  </si>
  <si>
    <t>Sumit Mishra</t>
  </si>
  <si>
    <t>Tanya Verma</t>
  </si>
  <si>
    <t>Naveen Kumar</t>
  </si>
  <si>
    <t>Bhavna Singh</t>
  </si>
  <si>
    <t>Rajeev Sharma</t>
  </si>
  <si>
    <t>Sonal Gupta</t>
  </si>
  <si>
    <t>Roll No.</t>
  </si>
  <si>
    <t>Name</t>
  </si>
  <si>
    <t>English</t>
  </si>
  <si>
    <t>Hindi</t>
  </si>
  <si>
    <t>Science</t>
  </si>
  <si>
    <t>Social Science</t>
  </si>
  <si>
    <t>Attendance</t>
  </si>
  <si>
    <t xml:space="preserve">Result </t>
  </si>
  <si>
    <t>Grade</t>
  </si>
  <si>
    <t>Percentage</t>
  </si>
  <si>
    <t>Rank</t>
  </si>
  <si>
    <t>Grand Total</t>
  </si>
  <si>
    <t>B</t>
  </si>
  <si>
    <t>C</t>
  </si>
  <si>
    <t>A</t>
  </si>
  <si>
    <t>E</t>
  </si>
  <si>
    <t>D</t>
  </si>
  <si>
    <t>A+</t>
  </si>
  <si>
    <t>F</t>
  </si>
  <si>
    <t>Total Marks</t>
  </si>
  <si>
    <t>Mathematics</t>
  </si>
  <si>
    <t>Fail</t>
  </si>
  <si>
    <t>Pass</t>
  </si>
  <si>
    <t>Result</t>
  </si>
  <si>
    <t>Students</t>
  </si>
  <si>
    <t>Average %</t>
  </si>
  <si>
    <t>Student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</si>
</sst>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2"/>
      <color theme="1"/>
      <name val="Amasis MT Pro Black"/>
      <family val="1"/>
    </font>
    <font>
      <sz val="11"/>
      <color theme="1"/>
      <name val="Calibri"/>
      <family val="2"/>
    </font>
    <font>
      <sz val="10"/>
      <color theme="1"/>
      <name val="Arial Unicode MS"/>
    </font>
    <font>
      <b/>
      <u/>
      <sz val="18"/>
      <color theme="1"/>
      <name val="Algerian"/>
      <family val="5"/>
    </font>
    <font>
      <b/>
      <sz val="20"/>
      <color theme="2"/>
      <name val="ADLaM Display"/>
    </font>
    <font>
      <sz val="11"/>
      <color theme="2"/>
      <name val="Aptos Narrow"/>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2" tint="-0.74999237037263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3" fillId="0" borderId="0" xfId="0" applyFont="1"/>
    <xf numFmtId="0" fontId="3" fillId="0" borderId="1" xfId="0" applyFont="1" applyBorder="1" applyAlignment="1">
      <alignment horizontal="center" vertical="center"/>
    </xf>
    <xf numFmtId="0" fontId="0" fillId="0" borderId="1" xfId="0" applyBorder="1" applyAlignment="1">
      <alignment horizontal="center"/>
    </xf>
    <xf numFmtId="0" fontId="2" fillId="0" borderId="2" xfId="0" applyFont="1" applyBorder="1" applyAlignment="1">
      <alignment horizontal="center" vertical="center"/>
    </xf>
    <xf numFmtId="0" fontId="0" fillId="0" borderId="3" xfId="0" applyBorder="1" applyAlignment="1">
      <alignment horizont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3" fillId="0" borderId="8" xfId="0" applyFont="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 xfId="0" pivotButton="1" applyBorder="1"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4" fillId="3" borderId="0" xfId="0" applyFont="1" applyFill="1" applyAlignment="1">
      <alignment horizontal="center" vertical="center"/>
    </xf>
    <xf numFmtId="0" fontId="5" fillId="4" borderId="0" xfId="0" applyFont="1" applyFill="1" applyAlignment="1">
      <alignment horizontal="center"/>
    </xf>
    <xf numFmtId="0" fontId="6" fillId="4" borderId="0" xfId="0" applyFont="1" applyFill="1" applyAlignment="1">
      <alignment horizontal="center"/>
    </xf>
  </cellXfs>
  <cellStyles count="1">
    <cellStyle name="Normal" xfId="0" builtinId="0"/>
  </cellStyles>
  <dxfs count="58">
    <dxf>
      <font>
        <color rgb="FF006100"/>
      </font>
      <fill>
        <patternFill>
          <bgColor rgb="FFC6EFCE"/>
        </patternFill>
      </fill>
    </dxf>
    <dxf>
      <fill>
        <patternFill>
          <bgColor rgb="FF92D050"/>
        </patternFill>
      </fill>
    </dxf>
    <dxf>
      <fill>
        <gradientFill degree="90">
          <stop position="0">
            <color theme="0"/>
          </stop>
          <stop position="1">
            <color theme="4"/>
          </stop>
        </gradientFill>
      </fill>
      <border>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masis MT Pro Black"/>
        <family val="1"/>
        <scheme val="none"/>
      </font>
      <fill>
        <patternFill patternType="solid">
          <fgColor indexed="64"/>
          <bgColor theme="8"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none">
                <a:solidFill>
                  <a:schemeClr val="tx1"/>
                </a:solidFill>
                <a:latin typeface="Times New Roman" panose="02020603050405020304" pitchFamily="18" charset="0"/>
                <a:cs typeface="Times New Roman" panose="02020603050405020304" pitchFamily="18" charset="0"/>
              </a:rPr>
              <a:t>Average</a:t>
            </a:r>
            <a:r>
              <a:rPr lang="en-US" b="1" u="none" baseline="0">
                <a:solidFill>
                  <a:schemeClr val="tx1"/>
                </a:solidFill>
                <a:latin typeface="Times New Roman" panose="02020603050405020304" pitchFamily="18" charset="0"/>
                <a:cs typeface="Times New Roman" panose="02020603050405020304" pitchFamily="18" charset="0"/>
              </a:rPr>
              <a:t> % &amp; Student Count by Grade</a:t>
            </a:r>
          </a:p>
        </c:rich>
      </c:tx>
      <c:layout>
        <c:manualLayout>
          <c:xMode val="edge"/>
          <c:yMode val="edge"/>
          <c:x val="0.2286742003129143"/>
          <c:y val="4.4659518274776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4219694436816"/>
          <c:y val="0.14167791741797522"/>
          <c:w val="0.64371943206007709"/>
          <c:h val="0.70586382005193304"/>
        </c:manualLayout>
      </c:layout>
      <c:barChart>
        <c:barDir val="col"/>
        <c:grouping val="clustered"/>
        <c:varyColors val="0"/>
        <c:ser>
          <c:idx val="0"/>
          <c:order val="0"/>
          <c:tx>
            <c:strRef>
              <c:f>Dashboard!$B$6</c:f>
              <c:strCache>
                <c:ptCount val="1"/>
                <c:pt idx="0">
                  <c:v>Students</c:v>
                </c:pt>
              </c:strCache>
            </c:strRef>
          </c:tx>
          <c:spPr>
            <a:solidFill>
              <a:schemeClr val="accent1"/>
            </a:solidFill>
            <a:ln>
              <a:noFill/>
            </a:ln>
            <a:effectLst/>
          </c:spPr>
          <c:invertIfNegative val="0"/>
          <c:cat>
            <c:strRef>
              <c:f>Dashboard!$A$7:$A$14</c:f>
              <c:strCache>
                <c:ptCount val="7"/>
                <c:pt idx="0">
                  <c:v>A</c:v>
                </c:pt>
                <c:pt idx="1">
                  <c:v>A+</c:v>
                </c:pt>
                <c:pt idx="2">
                  <c:v>B</c:v>
                </c:pt>
                <c:pt idx="3">
                  <c:v>C</c:v>
                </c:pt>
                <c:pt idx="4">
                  <c:v>D</c:v>
                </c:pt>
                <c:pt idx="5">
                  <c:v>E</c:v>
                </c:pt>
                <c:pt idx="6">
                  <c:v>F</c:v>
                </c:pt>
              </c:strCache>
            </c:strRef>
          </c:cat>
          <c:val>
            <c:numRef>
              <c:f>Dashboard!$B$7:$B$14</c:f>
              <c:numCache>
                <c:formatCode>General</c:formatCode>
                <c:ptCount val="7"/>
                <c:pt idx="0">
                  <c:v>11</c:v>
                </c:pt>
                <c:pt idx="1">
                  <c:v>6</c:v>
                </c:pt>
                <c:pt idx="2">
                  <c:v>11</c:v>
                </c:pt>
                <c:pt idx="3">
                  <c:v>11</c:v>
                </c:pt>
                <c:pt idx="4">
                  <c:v>8</c:v>
                </c:pt>
                <c:pt idx="5">
                  <c:v>8</c:v>
                </c:pt>
                <c:pt idx="6">
                  <c:v>5</c:v>
                </c:pt>
              </c:numCache>
            </c:numRef>
          </c:val>
          <c:extLst>
            <c:ext xmlns:c16="http://schemas.microsoft.com/office/drawing/2014/chart" uri="{C3380CC4-5D6E-409C-BE32-E72D297353CC}">
              <c16:uniqueId val="{00000000-73C2-4234-8722-41BDB608FE6F}"/>
            </c:ext>
          </c:extLst>
        </c:ser>
        <c:dLbls>
          <c:showLegendKey val="0"/>
          <c:showVal val="0"/>
          <c:showCatName val="0"/>
          <c:showSerName val="0"/>
          <c:showPercent val="0"/>
          <c:showBubbleSize val="0"/>
        </c:dLbls>
        <c:gapWidth val="219"/>
        <c:axId val="1794911423"/>
        <c:axId val="1794909983"/>
      </c:barChart>
      <c:lineChart>
        <c:grouping val="standard"/>
        <c:varyColors val="0"/>
        <c:ser>
          <c:idx val="1"/>
          <c:order val="1"/>
          <c:tx>
            <c:strRef>
              <c:f>Dashboard!$C$6</c:f>
              <c:strCache>
                <c:ptCount val="1"/>
                <c:pt idx="0">
                  <c:v>Average %</c:v>
                </c:pt>
              </c:strCache>
            </c:strRef>
          </c:tx>
          <c:spPr>
            <a:ln w="28575" cap="rnd">
              <a:solidFill>
                <a:schemeClr val="accent2"/>
              </a:solidFill>
              <a:round/>
            </a:ln>
            <a:effectLst/>
          </c:spPr>
          <c:marker>
            <c:symbol val="none"/>
          </c:marker>
          <c:cat>
            <c:strRef>
              <c:f>Dashboard!$A$7:$A$14</c:f>
              <c:strCache>
                <c:ptCount val="7"/>
                <c:pt idx="0">
                  <c:v>A</c:v>
                </c:pt>
                <c:pt idx="1">
                  <c:v>A+</c:v>
                </c:pt>
                <c:pt idx="2">
                  <c:v>B</c:v>
                </c:pt>
                <c:pt idx="3">
                  <c:v>C</c:v>
                </c:pt>
                <c:pt idx="4">
                  <c:v>D</c:v>
                </c:pt>
                <c:pt idx="5">
                  <c:v>E</c:v>
                </c:pt>
                <c:pt idx="6">
                  <c:v>F</c:v>
                </c:pt>
              </c:strCache>
            </c:strRef>
          </c:cat>
          <c:val>
            <c:numRef>
              <c:f>Dashboard!$C$7:$C$14</c:f>
              <c:numCache>
                <c:formatCode>0.00</c:formatCode>
                <c:ptCount val="7"/>
                <c:pt idx="0">
                  <c:v>85.436363636363637</c:v>
                </c:pt>
                <c:pt idx="1">
                  <c:v>92.433333333333337</c:v>
                </c:pt>
                <c:pt idx="2">
                  <c:v>74.127272727272739</c:v>
                </c:pt>
                <c:pt idx="3">
                  <c:v>63.81818181818182</c:v>
                </c:pt>
                <c:pt idx="4">
                  <c:v>53.925000000000004</c:v>
                </c:pt>
                <c:pt idx="5">
                  <c:v>44.575000000000003</c:v>
                </c:pt>
                <c:pt idx="6">
                  <c:v>35.44</c:v>
                </c:pt>
              </c:numCache>
            </c:numRef>
          </c:val>
          <c:smooth val="0"/>
          <c:extLst>
            <c:ext xmlns:c16="http://schemas.microsoft.com/office/drawing/2014/chart" uri="{C3380CC4-5D6E-409C-BE32-E72D297353CC}">
              <c16:uniqueId val="{00000002-73C2-4234-8722-41BDB608FE6F}"/>
            </c:ext>
          </c:extLst>
        </c:ser>
        <c:dLbls>
          <c:showLegendKey val="0"/>
          <c:showVal val="0"/>
          <c:showCatName val="0"/>
          <c:showSerName val="0"/>
          <c:showPercent val="0"/>
          <c:showBubbleSize val="0"/>
        </c:dLbls>
        <c:marker val="1"/>
        <c:smooth val="0"/>
        <c:axId val="1794911423"/>
        <c:axId val="1794909983"/>
      </c:lineChart>
      <c:catAx>
        <c:axId val="179491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909983"/>
        <c:crosses val="autoZero"/>
        <c:auto val="1"/>
        <c:lblAlgn val="ctr"/>
        <c:lblOffset val="100"/>
        <c:noMultiLvlLbl val="0"/>
      </c:catAx>
      <c:valAx>
        <c:axId val="179490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911423"/>
        <c:crosses val="autoZero"/>
        <c:crossBetween val="between"/>
      </c:valAx>
      <c:spPr>
        <a:noFill/>
        <a:ln>
          <a:solidFill>
            <a:schemeClr val="accent1">
              <a:alpha val="97000"/>
            </a:schemeClr>
          </a:solidFill>
        </a:ln>
        <a:effectLst/>
      </c:spPr>
    </c:plotArea>
    <c:legend>
      <c:legendPos val="r"/>
      <c:layout>
        <c:manualLayout>
          <c:xMode val="edge"/>
          <c:yMode val="edge"/>
          <c:x val="0.79652609792310236"/>
          <c:y val="0.38135711861177113"/>
          <c:w val="0.18021517339132023"/>
          <c:h val="0.18881263787819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186225</xdr:colOff>
      <xdr:row>4</xdr:row>
      <xdr:rowOff>2008</xdr:rowOff>
    </xdr:from>
    <xdr:to>
      <xdr:col>11</xdr:col>
      <xdr:colOff>449246</xdr:colOff>
      <xdr:row>24</xdr:row>
      <xdr:rowOff>79221</xdr:rowOff>
    </xdr:to>
    <xdr:graphicFrame macro="">
      <xdr:nvGraphicFramePr>
        <xdr:cNvPr id="2" name="Chart 1">
          <a:extLst>
            <a:ext uri="{FF2B5EF4-FFF2-40B4-BE49-F238E27FC236}">
              <a16:creationId xmlns:a16="http://schemas.microsoft.com/office/drawing/2014/main" id="{5AEDE8A4-76ED-4DB9-7026-5DA893FA5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80342</xdr:colOff>
      <xdr:row>5</xdr:row>
      <xdr:rowOff>75110</xdr:rowOff>
    </xdr:from>
    <xdr:to>
      <xdr:col>15</xdr:col>
      <xdr:colOff>96216</xdr:colOff>
      <xdr:row>10</xdr:row>
      <xdr:rowOff>75109</xdr:rowOff>
    </xdr:to>
    <mc:AlternateContent xmlns:mc="http://schemas.openxmlformats.org/markup-compatibility/2006" xmlns:a14="http://schemas.microsoft.com/office/drawing/2010/main">
      <mc:Choice Requires="a14">
        <xdr:graphicFrame macro="">
          <xdr:nvGraphicFramePr>
            <xdr:cNvPr id="5" name="Result ">
              <a:extLst>
                <a:ext uri="{FF2B5EF4-FFF2-40B4-BE49-F238E27FC236}">
                  <a16:creationId xmlns:a16="http://schemas.microsoft.com/office/drawing/2014/main" id="{CD1CAACF-0864-60D1-F9D7-ADD9118E8047}"/>
                </a:ext>
              </a:extLst>
            </xdr:cNvPr>
            <xdr:cNvGraphicFramePr/>
          </xdr:nvGraphicFramePr>
          <xdr:xfrm>
            <a:off x="0" y="0"/>
            <a:ext cx="0" cy="0"/>
          </xdr:xfrm>
          <a:graphic>
            <a:graphicData uri="http://schemas.microsoft.com/office/drawing/2010/slicer">
              <sle:slicer xmlns:sle="http://schemas.microsoft.com/office/drawing/2010/slicer" name="Result "/>
            </a:graphicData>
          </a:graphic>
        </xdr:graphicFrame>
      </mc:Choice>
      <mc:Fallback xmlns="">
        <xdr:sp macro="" textlink="">
          <xdr:nvSpPr>
            <xdr:cNvPr id="0" name=""/>
            <xdr:cNvSpPr>
              <a:spLocks noTextEdit="1"/>
            </xdr:cNvSpPr>
          </xdr:nvSpPr>
          <xdr:spPr>
            <a:xfrm>
              <a:off x="9331137" y="1200792"/>
              <a:ext cx="1834284" cy="938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88765</xdr:colOff>
      <xdr:row>11</xdr:row>
      <xdr:rowOff>27311</xdr:rowOff>
    </xdr:from>
    <xdr:to>
      <xdr:col>15</xdr:col>
      <xdr:colOff>91940</xdr:colOff>
      <xdr:row>23</xdr:row>
      <xdr:rowOff>157042</xdr:rowOff>
    </xdr:to>
    <mc:AlternateContent xmlns:mc="http://schemas.openxmlformats.org/markup-compatibility/2006" xmlns:a14="http://schemas.microsoft.com/office/drawing/2010/main">
      <mc:Choice Requires="a14">
        <xdr:graphicFrame macro="">
          <xdr:nvGraphicFramePr>
            <xdr:cNvPr id="6" name="Grade">
              <a:extLst>
                <a:ext uri="{FF2B5EF4-FFF2-40B4-BE49-F238E27FC236}">
                  <a16:creationId xmlns:a16="http://schemas.microsoft.com/office/drawing/2014/main" id="{8D555448-FB0E-6560-150E-13679494E3C1}"/>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9339560" y="2278675"/>
              <a:ext cx="1821585" cy="2381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 refreshedDate="46070.625172916669" createdVersion="8" refreshedVersion="8" minRefreshableVersion="3" recordCount="60" xr:uid="{0AEDD244-A732-4145-AE73-3478E86804D0}">
  <cacheSource type="worksheet">
    <worksheetSource name="Table1"/>
  </cacheSource>
  <cacheFields count="13">
    <cacheField name="Roll No." numFmtId="0">
      <sharedItems containsSemiMixedTypes="0" containsString="0" containsNumber="1" containsInteger="1" minValue="1" maxValue="60"/>
    </cacheField>
    <cacheField name="Name" numFmtId="0">
      <sharedItems/>
    </cacheField>
    <cacheField name="English" numFmtId="0">
      <sharedItems containsSemiMixedTypes="0" containsString="0" containsNumber="1" containsInteger="1" minValue="20" maxValue="95"/>
    </cacheField>
    <cacheField name="Hindi" numFmtId="0">
      <sharedItems containsSemiMixedTypes="0" containsString="0" containsNumber="1" containsInteger="1" minValue="30" maxValue="96"/>
    </cacheField>
    <cacheField name="Mathematics" numFmtId="0">
      <sharedItems containsSemiMixedTypes="0" containsString="0" containsNumber="1" containsInteger="1" minValue="23" maxValue="94"/>
    </cacheField>
    <cacheField name="Science" numFmtId="0">
      <sharedItems containsSemiMixedTypes="0" containsString="0" containsNumber="1" containsInteger="1" minValue="24" maxValue="95"/>
    </cacheField>
    <cacheField name="Social Science" numFmtId="0">
      <sharedItems containsSemiMixedTypes="0" containsString="0" containsNumber="1" containsInteger="1" minValue="25" maxValue="97"/>
    </cacheField>
    <cacheField name="Attendance" numFmtId="0">
      <sharedItems containsSemiMixedTypes="0" containsString="0" containsNumber="1" containsInteger="1" minValue="41" maxValue="99"/>
    </cacheField>
    <cacheField name="Total Marks" numFmtId="0">
      <sharedItems containsSemiMixedTypes="0" containsString="0" containsNumber="1" containsInteger="1" minValue="146" maxValue="475"/>
    </cacheField>
    <cacheField name="Percentage" numFmtId="0">
      <sharedItems containsSemiMixedTypes="0" containsString="0" containsNumber="1" minValue="29.2" maxValue="95"/>
    </cacheField>
    <cacheField name="Result " numFmtId="0">
      <sharedItems count="2">
        <s v="Pass"/>
        <s v="Fail"/>
      </sharedItems>
    </cacheField>
    <cacheField name="Grade" numFmtId="0">
      <sharedItems count="7">
        <s v="B"/>
        <s v="C"/>
        <s v="A"/>
        <s v="E"/>
        <s v="D"/>
        <s v="A+"/>
        <s v="F"/>
      </sharedItems>
    </cacheField>
    <cacheField name="Rank" numFmtId="0">
      <sharedItems containsSemiMixedTypes="0" containsString="0" containsNumber="1" containsInteger="1" minValue="1" maxValue="60"/>
    </cacheField>
  </cacheFields>
  <extLst>
    <ext xmlns:x14="http://schemas.microsoft.com/office/spreadsheetml/2009/9/main" uri="{725AE2AE-9491-48be-B2B4-4EB974FC3084}">
      <x14:pivotCacheDefinition pivotCacheId="821422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s v="Aarav Sharma"/>
    <n v="78"/>
    <n v="65"/>
    <n v="74"/>
    <n v="82"/>
    <n v="69"/>
    <n v="88"/>
    <n v="368"/>
    <n v="73.599999999999994"/>
    <x v="0"/>
    <x v="0"/>
    <n v="24"/>
  </r>
  <r>
    <n v="2"/>
    <s v="Abhishek Dubey"/>
    <n v="56"/>
    <n v="72"/>
    <n v="58"/>
    <n v="61"/>
    <n v="63"/>
    <n v="91"/>
    <n v="310"/>
    <n v="62"/>
    <x v="0"/>
    <x v="1"/>
    <n v="36"/>
  </r>
  <r>
    <n v="3"/>
    <s v="Aditi Sharma"/>
    <n v="89"/>
    <n v="84"/>
    <n v="86"/>
    <n v="90"/>
    <n v="88"/>
    <n v="95"/>
    <n v="437"/>
    <n v="87.4"/>
    <x v="0"/>
    <x v="2"/>
    <n v="11"/>
  </r>
  <r>
    <n v="4"/>
    <s v="Aditya Mishra"/>
    <n v="45"/>
    <n v="51"/>
    <n v="55"/>
    <n v="48"/>
    <n v="50"/>
    <n v="76"/>
    <n v="249"/>
    <n v="49.8"/>
    <x v="0"/>
    <x v="3"/>
    <n v="48"/>
  </r>
  <r>
    <n v="5"/>
    <s v="Akash Yadav"/>
    <n v="92"/>
    <n v="88"/>
    <n v="91"/>
    <n v="85"/>
    <n v="90"/>
    <n v="97"/>
    <n v="446"/>
    <n v="89.2"/>
    <x v="0"/>
    <x v="2"/>
    <n v="7"/>
  </r>
  <r>
    <n v="6"/>
    <s v="Aman Verma"/>
    <n v="67"/>
    <n v="70"/>
    <n v="60"/>
    <n v="64"/>
    <n v="66"/>
    <n v="85"/>
    <n v="327"/>
    <n v="65.400000000000006"/>
    <x v="0"/>
    <x v="1"/>
    <n v="32"/>
  </r>
  <r>
    <n v="7"/>
    <s v="Ananya Singh"/>
    <n v="38"/>
    <n v="42"/>
    <n v="40"/>
    <n v="45"/>
    <n v="39"/>
    <n v="72"/>
    <n v="204"/>
    <n v="40.799999999999997"/>
    <x v="0"/>
    <x v="3"/>
    <n v="54"/>
  </r>
  <r>
    <n v="8"/>
    <s v="Anjali Mehta"/>
    <n v="81"/>
    <n v="79"/>
    <n v="83"/>
    <n v="75"/>
    <n v="77"/>
    <n v="93"/>
    <n v="395"/>
    <n v="79"/>
    <x v="0"/>
    <x v="0"/>
    <n v="18"/>
  </r>
  <r>
    <n v="9"/>
    <s v="Ankit Agarwal"/>
    <n v="54"/>
    <n v="58"/>
    <n v="49"/>
    <n v="52"/>
    <n v="56"/>
    <n v="80"/>
    <n v="269"/>
    <n v="53.800000000000004"/>
    <x v="0"/>
    <x v="4"/>
    <n v="43"/>
  </r>
  <r>
    <n v="10"/>
    <s v="Arjun Mehta"/>
    <n v="73"/>
    <n v="68"/>
    <n v="69"/>
    <n v="71"/>
    <n v="74"/>
    <n v="87"/>
    <n v="355"/>
    <n v="71"/>
    <x v="0"/>
    <x v="0"/>
    <n v="25"/>
  </r>
  <r>
    <n v="11"/>
    <s v="Ayush Tripathi"/>
    <n v="61"/>
    <n v="64"/>
    <n v="62"/>
    <n v="59"/>
    <n v="60"/>
    <n v="82"/>
    <n v="306"/>
    <n v="61.199999999999996"/>
    <x v="0"/>
    <x v="1"/>
    <n v="37"/>
  </r>
  <r>
    <n v="12"/>
    <s v="Bhavna Singh"/>
    <n v="95"/>
    <n v="91"/>
    <n v="94"/>
    <n v="93"/>
    <n v="96"/>
    <n v="98"/>
    <n v="469"/>
    <n v="93.8"/>
    <x v="0"/>
    <x v="5"/>
    <n v="2"/>
  </r>
  <r>
    <n v="13"/>
    <s v="Deepak Yadav"/>
    <n v="40"/>
    <n v="39"/>
    <n v="33"/>
    <n v="44"/>
    <n v="31"/>
    <n v="74"/>
    <n v="187"/>
    <n v="37.4"/>
    <x v="1"/>
    <x v="6"/>
    <n v="57"/>
  </r>
  <r>
    <n v="14"/>
    <s v="Divya Singh"/>
    <n v="84"/>
    <n v="80"/>
    <n v="88"/>
    <n v="86"/>
    <n v="82"/>
    <n v="92"/>
    <n v="420"/>
    <n v="84"/>
    <x v="0"/>
    <x v="2"/>
    <n v="14"/>
  </r>
  <r>
    <n v="15"/>
    <s v="Gaurav Pandey"/>
    <n v="69"/>
    <n v="72"/>
    <n v="65"/>
    <n v="68"/>
    <n v="70"/>
    <n v="86"/>
    <n v="344"/>
    <n v="68.8"/>
    <x v="0"/>
    <x v="1"/>
    <n v="29"/>
  </r>
  <r>
    <n v="16"/>
    <s v="Harsh Tiwari"/>
    <n v="52"/>
    <n v="55"/>
    <n v="54"/>
    <n v="50"/>
    <n v="53"/>
    <n v="78"/>
    <n v="264"/>
    <n v="52.800000000000004"/>
    <x v="0"/>
    <x v="4"/>
    <n v="44"/>
  </r>
  <r>
    <n v="17"/>
    <s v="Isha Kapoor"/>
    <n v="77"/>
    <n v="75"/>
    <n v="81"/>
    <n v="79"/>
    <n v="76"/>
    <n v="90"/>
    <n v="388"/>
    <n v="77.600000000000009"/>
    <x v="0"/>
    <x v="0"/>
    <n v="20"/>
  </r>
  <r>
    <n v="18"/>
    <s v="Ishita Choudhary"/>
    <n v="34"/>
    <n v="39"/>
    <n v="37"/>
    <n v="41"/>
    <n v="36"/>
    <n v="70"/>
    <n v="187"/>
    <n v="37.4"/>
    <x v="1"/>
    <x v="6"/>
    <n v="57"/>
  </r>
  <r>
    <n v="19"/>
    <s v="Karan Patel"/>
    <n v="88"/>
    <n v="85"/>
    <n v="87"/>
    <n v="90"/>
    <n v="89"/>
    <n v="94"/>
    <n v="439"/>
    <n v="87.8"/>
    <x v="0"/>
    <x v="2"/>
    <n v="10"/>
  </r>
  <r>
    <n v="20"/>
    <s v="Kavya Nair"/>
    <n v="63"/>
    <n v="60"/>
    <n v="64"/>
    <n v="66"/>
    <n v="61"/>
    <n v="84"/>
    <n v="314"/>
    <n v="62.8"/>
    <x v="0"/>
    <x v="1"/>
    <n v="34"/>
  </r>
  <r>
    <n v="21"/>
    <s v="Khushi Sharma"/>
    <n v="71"/>
    <n v="69"/>
    <n v="70"/>
    <n v="73"/>
    <n v="72"/>
    <n v="88"/>
    <n v="355"/>
    <n v="71"/>
    <x v="0"/>
    <x v="0"/>
    <n v="25"/>
  </r>
  <r>
    <n v="22"/>
    <s v="Komal Singh"/>
    <n v="49"/>
    <n v="52"/>
    <n v="50"/>
    <n v="48"/>
    <n v="51"/>
    <n v="75"/>
    <n v="250"/>
    <n v="50"/>
    <x v="0"/>
    <x v="4"/>
    <n v="47"/>
  </r>
  <r>
    <n v="23"/>
    <s v="Manish Chauhan"/>
    <n v="91"/>
    <n v="93"/>
    <n v="92"/>
    <n v="89"/>
    <n v="94"/>
    <n v="96"/>
    <n v="459"/>
    <n v="91.8"/>
    <x v="0"/>
    <x v="5"/>
    <n v="4"/>
  </r>
  <r>
    <n v="24"/>
    <s v="Mayank Gupta"/>
    <n v="58"/>
    <n v="62"/>
    <n v="60"/>
    <n v="55"/>
    <n v="59"/>
    <n v="81"/>
    <n v="294"/>
    <n v="58.8"/>
    <x v="0"/>
    <x v="4"/>
    <n v="40"/>
  </r>
  <r>
    <n v="25"/>
    <s v="Megha Joshi"/>
    <n v="76"/>
    <n v="78"/>
    <n v="77"/>
    <n v="74"/>
    <n v="75"/>
    <n v="89"/>
    <n v="380"/>
    <n v="76"/>
    <x v="0"/>
    <x v="0"/>
    <n v="21"/>
  </r>
  <r>
    <n v="26"/>
    <s v="Mohit Saxena"/>
    <n v="44"/>
    <n v="46"/>
    <n v="45"/>
    <n v="42"/>
    <n v="43"/>
    <n v="73"/>
    <n v="220"/>
    <n v="44"/>
    <x v="0"/>
    <x v="3"/>
    <n v="52"/>
  </r>
  <r>
    <n v="27"/>
    <s v="Muskan Gupta"/>
    <n v="85"/>
    <n v="82"/>
    <n v="84"/>
    <n v="87"/>
    <n v="83"/>
    <n v="91"/>
    <n v="421"/>
    <n v="84.2"/>
    <x v="0"/>
    <x v="2"/>
    <n v="13"/>
  </r>
  <r>
    <n v="28"/>
    <s v="Naveen Kumar"/>
    <n v="66"/>
    <n v="68"/>
    <n v="67"/>
    <n v="65"/>
    <n v="64"/>
    <n v="85"/>
    <n v="330"/>
    <n v="66"/>
    <x v="0"/>
    <x v="1"/>
    <n v="31"/>
  </r>
  <r>
    <n v="29"/>
    <s v="Neha Agarwal"/>
    <n v="20"/>
    <n v="30"/>
    <n v="31"/>
    <n v="24"/>
    <n v="41"/>
    <n v="79"/>
    <n v="146"/>
    <n v="29.2"/>
    <x v="1"/>
    <x v="6"/>
    <n v="60"/>
  </r>
  <r>
    <n v="30"/>
    <s v="Nidhi Verma"/>
    <n v="90"/>
    <n v="88"/>
    <n v="91"/>
    <n v="92"/>
    <n v="89"/>
    <n v="97"/>
    <n v="450"/>
    <n v="90"/>
    <x v="0"/>
    <x v="5"/>
    <n v="6"/>
  </r>
  <r>
    <n v="31"/>
    <s v="Nitin Tyagi"/>
    <n v="72"/>
    <n v="70"/>
    <n v="71"/>
    <n v="68"/>
    <n v="69"/>
    <n v="86"/>
    <n v="350"/>
    <n v="70"/>
    <x v="0"/>
    <x v="0"/>
    <n v="27"/>
  </r>
  <r>
    <n v="32"/>
    <s v="Palak Arora"/>
    <n v="39"/>
    <n v="41"/>
    <n v="40"/>
    <n v="38"/>
    <n v="42"/>
    <n v="71"/>
    <n v="200"/>
    <n v="40"/>
    <x v="1"/>
    <x v="3"/>
    <n v="55"/>
  </r>
  <r>
    <n v="33"/>
    <s v="Pallavi Jain"/>
    <n v="83"/>
    <n v="81"/>
    <n v="82"/>
    <n v="85"/>
    <n v="84"/>
    <n v="92"/>
    <n v="415"/>
    <n v="83"/>
    <x v="0"/>
    <x v="2"/>
    <n v="15"/>
  </r>
  <r>
    <n v="34"/>
    <s v="Payal Saxena"/>
    <n v="60"/>
    <n v="30"/>
    <n v="23"/>
    <n v="40"/>
    <n v="25"/>
    <n v="83"/>
    <n v="178"/>
    <n v="35.6"/>
    <x v="1"/>
    <x v="6"/>
    <n v="59"/>
  </r>
  <r>
    <n v="35"/>
    <s v="Pooja Kumari"/>
    <n v="94"/>
    <n v="96"/>
    <n v="93"/>
    <n v="95"/>
    <n v="97"/>
    <n v="99"/>
    <n v="475"/>
    <n v="95"/>
    <x v="0"/>
    <x v="5"/>
    <n v="1"/>
  </r>
  <r>
    <n v="36"/>
    <s v="Prachi Mishra"/>
    <n v="48"/>
    <n v="45"/>
    <n v="49"/>
    <n v="47"/>
    <n v="46"/>
    <n v="76"/>
    <n v="235"/>
    <n v="47"/>
    <x v="0"/>
    <x v="3"/>
    <n v="49"/>
  </r>
  <r>
    <n v="37"/>
    <s v="Priya Gupta"/>
    <n v="79"/>
    <n v="77"/>
    <n v="78"/>
    <n v="80"/>
    <n v="76"/>
    <n v="90"/>
    <n v="390"/>
    <n v="78"/>
    <x v="0"/>
    <x v="0"/>
    <n v="19"/>
  </r>
  <r>
    <n v="38"/>
    <s v="Rahul Jain"/>
    <n v="55"/>
    <n v="53"/>
    <n v="54"/>
    <n v="57"/>
    <n v="56"/>
    <n v="82"/>
    <n v="275"/>
    <n v="55.000000000000007"/>
    <x v="0"/>
    <x v="4"/>
    <n v="42"/>
  </r>
  <r>
    <n v="39"/>
    <s v="Rajat Bansal"/>
    <n v="87"/>
    <n v="89"/>
    <n v="88"/>
    <n v="86"/>
    <n v="90"/>
    <n v="94"/>
    <n v="440"/>
    <n v="88"/>
    <x v="0"/>
    <x v="2"/>
    <n v="8"/>
  </r>
  <r>
    <n v="40"/>
    <s v="Rajeev Sharma"/>
    <n v="62"/>
    <n v="65"/>
    <n v="63"/>
    <n v="60"/>
    <n v="64"/>
    <n v="84"/>
    <n v="314"/>
    <n v="62.8"/>
    <x v="0"/>
    <x v="1"/>
    <n v="34"/>
  </r>
  <r>
    <n v="41"/>
    <s v="Rakesh Kumar"/>
    <n v="75"/>
    <n v="73"/>
    <n v="74"/>
    <n v="78"/>
    <n v="76"/>
    <n v="88"/>
    <n v="376"/>
    <n v="75.2"/>
    <x v="0"/>
    <x v="0"/>
    <n v="22"/>
  </r>
  <r>
    <n v="42"/>
    <s v="Ritika Srivastava"/>
    <n v="40"/>
    <n v="42"/>
    <n v="27"/>
    <n v="39"/>
    <n v="40"/>
    <n v="41"/>
    <n v="188"/>
    <n v="37.6"/>
    <x v="1"/>
    <x v="6"/>
    <n v="56"/>
  </r>
  <r>
    <n v="43"/>
    <s v="Riya Malhotra"/>
    <n v="93"/>
    <n v="91"/>
    <n v="92"/>
    <n v="94"/>
    <n v="95"/>
    <n v="98"/>
    <n v="465"/>
    <n v="93"/>
    <x v="0"/>
    <x v="5"/>
    <n v="3"/>
  </r>
  <r>
    <n v="44"/>
    <s v="Rohan Verma"/>
    <n v="57"/>
    <n v="55"/>
    <n v="58"/>
    <n v="59"/>
    <n v="56"/>
    <n v="80"/>
    <n v="285"/>
    <n v="56.999999999999993"/>
    <x v="0"/>
    <x v="4"/>
    <n v="41"/>
  </r>
  <r>
    <n v="45"/>
    <s v="Rohit Sharma"/>
    <n v="82"/>
    <n v="85"/>
    <n v="83"/>
    <n v="80"/>
    <n v="81"/>
    <n v="91"/>
    <n v="411"/>
    <n v="82.199999999999989"/>
    <x v="0"/>
    <x v="2"/>
    <n v="16"/>
  </r>
  <r>
    <n v="46"/>
    <s v="Sakshi Srivastava"/>
    <n v="46"/>
    <n v="44"/>
    <n v="45"/>
    <n v="48"/>
    <n v="47"/>
    <n v="74"/>
    <n v="230"/>
    <n v="46"/>
    <x v="0"/>
    <x v="3"/>
    <n v="51"/>
  </r>
  <r>
    <n v="47"/>
    <s v="Saurabh Shukla"/>
    <n v="68"/>
    <n v="66"/>
    <n v="67"/>
    <n v="70"/>
    <n v="69"/>
    <n v="85"/>
    <n v="340"/>
    <n v="68"/>
    <x v="0"/>
    <x v="1"/>
    <n v="30"/>
  </r>
  <r>
    <n v="48"/>
    <s v="Shreya Goyal"/>
    <n v="51"/>
    <n v="50"/>
    <n v="52"/>
    <n v="53"/>
    <n v="54"/>
    <n v="78"/>
    <n v="260"/>
    <n v="52"/>
    <x v="0"/>
    <x v="4"/>
    <n v="45"/>
  </r>
  <r>
    <n v="49"/>
    <s v="Siddharth Jain"/>
    <n v="86"/>
    <n v="84"/>
    <n v="85"/>
    <n v="88"/>
    <n v="87"/>
    <n v="93"/>
    <n v="430"/>
    <n v="86"/>
    <x v="0"/>
    <x v="2"/>
    <n v="12"/>
  </r>
  <r>
    <n v="50"/>
    <s v="Simran Kaur"/>
    <n v="59"/>
    <n v="61"/>
    <n v="60"/>
    <n v="58"/>
    <n v="62"/>
    <n v="82"/>
    <n v="300"/>
    <n v="60"/>
    <x v="0"/>
    <x v="1"/>
    <n v="39"/>
  </r>
  <r>
    <n v="51"/>
    <s v="Sneha Yadav"/>
    <n v="74"/>
    <n v="72"/>
    <n v="73"/>
    <n v="76"/>
    <n v="75"/>
    <n v="88"/>
    <n v="370"/>
    <n v="74"/>
    <x v="0"/>
    <x v="0"/>
    <n v="23"/>
  </r>
  <r>
    <n v="52"/>
    <s v="Sonal Gupta"/>
    <n v="43"/>
    <n v="40"/>
    <n v="44"/>
    <n v="42"/>
    <n v="41"/>
    <n v="73"/>
    <n v="210"/>
    <n v="42"/>
    <x v="0"/>
    <x v="3"/>
    <n v="53"/>
  </r>
  <r>
    <n v="53"/>
    <s v="Sumit Mishra"/>
    <n v="91"/>
    <n v="89"/>
    <n v="90"/>
    <n v="93"/>
    <n v="92"/>
    <n v="96"/>
    <n v="455"/>
    <n v="91"/>
    <x v="0"/>
    <x v="5"/>
    <n v="5"/>
  </r>
  <r>
    <n v="54"/>
    <s v="Swati Chauhan"/>
    <n v="64"/>
    <n v="66"/>
    <n v="65"/>
    <n v="63"/>
    <n v="62"/>
    <n v="84"/>
    <n v="320"/>
    <n v="64"/>
    <x v="0"/>
    <x v="1"/>
    <n v="33"/>
  </r>
  <r>
    <n v="55"/>
    <s v="Tanvi Kapoor"/>
    <n v="80"/>
    <n v="78"/>
    <n v="79"/>
    <n v="82"/>
    <n v="81"/>
    <n v="90"/>
    <n v="400"/>
    <n v="80"/>
    <x v="0"/>
    <x v="2"/>
    <n v="17"/>
  </r>
  <r>
    <n v="56"/>
    <s v="Tanya Verma"/>
    <n v="47"/>
    <n v="49"/>
    <n v="46"/>
    <n v="45"/>
    <n v="48"/>
    <n v="75"/>
    <n v="235"/>
    <n v="47"/>
    <x v="0"/>
    <x v="3"/>
    <n v="49"/>
  </r>
  <r>
    <n v="57"/>
    <s v="Varun Khanna"/>
    <n v="70"/>
    <n v="68"/>
    <n v="69"/>
    <n v="72"/>
    <n v="71"/>
    <n v="86"/>
    <n v="350"/>
    <n v="70"/>
    <x v="0"/>
    <x v="0"/>
    <n v="27"/>
  </r>
  <r>
    <n v="58"/>
    <s v="Vikas Tiwari"/>
    <n v="52"/>
    <n v="54"/>
    <n v="51"/>
    <n v="50"/>
    <n v="53"/>
    <n v="79"/>
    <n v="260"/>
    <n v="52"/>
    <x v="0"/>
    <x v="4"/>
    <n v="45"/>
  </r>
  <r>
    <n v="59"/>
    <s v="Vivek Pandey"/>
    <n v="88"/>
    <n v="90"/>
    <n v="89"/>
    <n v="87"/>
    <n v="86"/>
    <n v="94"/>
    <n v="440"/>
    <n v="88"/>
    <x v="0"/>
    <x v="2"/>
    <n v="8"/>
  </r>
  <r>
    <n v="60"/>
    <s v="Yash Patel"/>
    <n v="61"/>
    <n v="63"/>
    <n v="62"/>
    <n v="59"/>
    <n v="60"/>
    <n v="83"/>
    <n v="305"/>
    <n v="61"/>
    <x v="0"/>
    <x v="1"/>
    <n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C6CFA-20E0-49B5-A934-DC9DEB80E7A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R18"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34296-94A7-44B7-9DD2-B2746686F96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sult">
  <location ref="A17:B20" firstHeaderRow="1" firstDataRow="1" firstDataCol="1"/>
  <pivotFields count="13">
    <pivotField showAll="0"/>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s>
  <rowFields count="1">
    <field x="10"/>
  </rowFields>
  <rowItems count="3">
    <i>
      <x/>
    </i>
    <i>
      <x v="1"/>
    </i>
    <i t="grand">
      <x/>
    </i>
  </rowItems>
  <colItems count="1">
    <i/>
  </colItems>
  <dataFields count="1">
    <dataField name="Students" fld="1" subtotal="count" baseField="0" baseItem="0"/>
  </dataFields>
  <formats count="18">
    <format dxfId="38">
      <pivotArea type="all" dataOnly="0" outline="0" fieldPosition="0"/>
    </format>
    <format dxfId="37">
      <pivotArea outline="0" collapsedLevelsAreSubtotals="1" fieldPosition="0"/>
    </format>
    <format dxfId="36">
      <pivotArea field="10" type="button" dataOnly="0" labelOnly="1" outline="0" axis="axisRow" fieldPosition="0"/>
    </format>
    <format dxfId="35">
      <pivotArea dataOnly="0" labelOnly="1" fieldPosition="0">
        <references count="1">
          <reference field="10"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0" type="button" dataOnly="0" labelOnly="1" outline="0" axis="axisRow" fieldPosition="0"/>
    </format>
    <format dxfId="29">
      <pivotArea dataOnly="0" labelOnly="1" fieldPosition="0">
        <references count="1">
          <reference field="10"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0" type="button" dataOnly="0" labelOnly="1" outline="0" axis="axisRow" fieldPosition="0"/>
    </format>
    <format dxfId="23">
      <pivotArea dataOnly="0" labelOnly="1" fieldPosition="0">
        <references count="1">
          <reference field="10" count="0"/>
        </references>
      </pivotArea>
    </format>
    <format dxfId="22">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5FE0A-8CFB-4A2F-9B87-B659800FF2A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rade">
  <location ref="A6:C14" firstHeaderRow="0" firstDataRow="1" firstDataCol="1"/>
  <pivotFields count="13">
    <pivotField showAll="0"/>
    <pivotField dataField="1" showAll="0"/>
    <pivotField showAll="0"/>
    <pivotField showAll="0"/>
    <pivotField showAll="0"/>
    <pivotField showAll="0"/>
    <pivotField showAll="0"/>
    <pivotField showAll="0"/>
    <pivotField showAll="0"/>
    <pivotField dataField="1" showAll="0"/>
    <pivotField showAll="0">
      <items count="3">
        <item x="1"/>
        <item x="0"/>
        <item t="default"/>
      </items>
    </pivotField>
    <pivotField axis="axisRow" showAll="0">
      <items count="8">
        <item x="2"/>
        <item x="5"/>
        <item x="0"/>
        <item x="1"/>
        <item x="4"/>
        <item x="3"/>
        <item x="6"/>
        <item t="default"/>
      </items>
    </pivotField>
    <pivotField showAll="0"/>
  </pivotFields>
  <rowFields count="1">
    <field x="11"/>
  </rowFields>
  <rowItems count="8">
    <i>
      <x/>
    </i>
    <i>
      <x v="1"/>
    </i>
    <i>
      <x v="2"/>
    </i>
    <i>
      <x v="3"/>
    </i>
    <i>
      <x v="4"/>
    </i>
    <i>
      <x v="5"/>
    </i>
    <i>
      <x v="6"/>
    </i>
    <i t="grand">
      <x/>
    </i>
  </rowItems>
  <colFields count="1">
    <field x="-2"/>
  </colFields>
  <colItems count="2">
    <i>
      <x/>
    </i>
    <i i="1">
      <x v="1"/>
    </i>
  </colItems>
  <dataFields count="2">
    <dataField name="Students" fld="1" subtotal="count" baseField="0" baseItem="0"/>
    <dataField name="Average %" fld="9" subtotal="average" baseField="11" baseItem="4" numFmtId="2"/>
  </dataFields>
  <formats count="19">
    <format dxfId="57">
      <pivotArea type="all" dataOnly="0" outline="0" fieldPosition="0"/>
    </format>
    <format dxfId="56">
      <pivotArea outline="0" collapsedLevelsAreSubtotals="1" fieldPosition="0"/>
    </format>
    <format dxfId="55">
      <pivotArea field="11" type="button" dataOnly="0" labelOnly="1" outline="0" axis="axisRow" fieldPosition="0"/>
    </format>
    <format dxfId="54">
      <pivotArea dataOnly="0" labelOnly="1" fieldPosition="0">
        <references count="1">
          <reference field="11" count="0"/>
        </references>
      </pivotArea>
    </format>
    <format dxfId="53">
      <pivotArea dataOnly="0" labelOnly="1" grandRow="1" outline="0" fieldPosition="0"/>
    </format>
    <format dxfId="52">
      <pivotArea dataOnly="0" labelOnly="1" outline="0" fieldPosition="0">
        <references count="1">
          <reference field="4294967294" count="2">
            <x v="0"/>
            <x v="1"/>
          </reference>
        </references>
      </pivotArea>
    </format>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 dxfId="45">
      <pivotArea type="all" dataOnly="0" outline="0" fieldPosition="0"/>
    </format>
    <format dxfId="44">
      <pivotArea outline="0" collapsedLevelsAreSubtotals="1" fieldPosition="0"/>
    </format>
    <format dxfId="43">
      <pivotArea field="11" type="button" dataOnly="0" labelOnly="1" outline="0" axis="axisRow" fieldPosition="0"/>
    </format>
    <format dxfId="42">
      <pivotArea dataOnly="0" labelOnly="1" fieldPosition="0">
        <references count="1">
          <reference field="11"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 dxfId="39">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F11F7072-B78E-48D8-860A-E664FD21D0AA}" sourceName="Result ">
  <pivotTables>
    <pivotTable tabId="3" name="PivotTable1"/>
  </pivotTables>
  <data>
    <tabular pivotCacheId="821422630">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49CD367A-865B-49C3-A5C3-15A68E55BDB4}" sourceName="Grade">
  <pivotTables>
    <pivotTable tabId="3" name="PivotTable1"/>
  </pivotTables>
  <data>
    <tabular pivotCacheId="821422630">
      <items count="7">
        <i x="2" s="1"/>
        <i x="5" s="1"/>
        <i x="0" s="1"/>
        <i x="1" s="1"/>
        <i x="4"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 xr10:uid="{4ED2F8FE-5406-4493-A8E0-657468150DB1}" cache="Slicer_Result" caption="Result " rowHeight="251883"/>
  <slicer name="Grade" xr10:uid="{8ED1EDE5-05E7-4CC6-ADB5-81E346490FC0}" cache="Slicer_Grade" caption="Gra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CCDA0-DEBB-44E3-AD97-62D97186CCFF}" name="Table1" displayName="Table1" ref="A1:M61" totalsRowShown="0" headerRowDxfId="20" dataDxfId="18" headerRowBorderDxfId="19" tableBorderDxfId="17" totalsRowBorderDxfId="16">
  <autoFilter ref="A1:M61" xr:uid="{016CCDA0-DEBB-44E3-AD97-62D97186CCFF}"/>
  <tableColumns count="13">
    <tableColumn id="1" xr3:uid="{9E351F9E-0BC5-4749-9F4C-DDA327F655E6}" name="Roll No." dataDxfId="15"/>
    <tableColumn id="2" xr3:uid="{E8A74490-60E4-4EB1-893E-5202C3E6A29D}" name="Name" dataDxfId="14"/>
    <tableColumn id="3" xr3:uid="{3E508A63-3C82-42AE-B2D2-194100931CB8}" name="English" dataDxfId="13"/>
    <tableColumn id="4" xr3:uid="{60A82D71-FBA9-45F9-A0D8-6FC872D15F26}" name="Hindi" dataDxfId="12"/>
    <tableColumn id="5" xr3:uid="{D3178A9E-0BE1-46D9-81A9-4579923B8FE8}" name="Mathematics" dataDxfId="11"/>
    <tableColumn id="6" xr3:uid="{83E9FB1A-4DFD-46F8-AEE6-268F32F02358}" name="Science" dataDxfId="10"/>
    <tableColumn id="7" xr3:uid="{0B34BCEB-9602-4120-95EE-100F09E1E1B9}" name="Social Science" dataDxfId="9"/>
    <tableColumn id="8" xr3:uid="{C52AD61B-653B-4BD1-BF06-F4BB2CBAE44C}" name="Attendance" dataDxfId="8"/>
    <tableColumn id="9" xr3:uid="{33451E77-B4C7-436A-8F17-23AB1F7A4FE7}" name="Total Marks" dataDxfId="7">
      <calculatedColumnFormula>SUM(C2,D2,E2,F2,G2,)</calculatedColumnFormula>
    </tableColumn>
    <tableColumn id="10" xr3:uid="{F56AA72A-D49C-4D18-A76E-94761559797B}" name="Percentage" dataDxfId="6">
      <calculatedColumnFormula>(I2/500)*100</calculatedColumnFormula>
    </tableColumn>
    <tableColumn id="11" xr3:uid="{D49F9879-1859-4789-AA86-0859E2F0D55E}" name="Result " dataDxfId="5">
      <calculatedColumnFormula>IF(I2&gt;200,"Pass","Fail")</calculatedColumnFormula>
    </tableColumn>
    <tableColumn id="12" xr3:uid="{8F78D8E9-61CB-4470-9E98-01B681AFC5D8}" name="Grade" dataDxfId="4">
      <calculatedColumnFormula>IF(J2&gt;=90,"A+",IF(J2&gt;=80,"A",IF(J2&gt;=70,"B",IF(J2&gt;=60,"C",IF(J2&gt;=50,"D",IF(J2&gt;=40,"E","F"))))))</calculatedColumnFormula>
    </tableColumn>
    <tableColumn id="13" xr3:uid="{2E62E8AB-3BBC-499A-A358-DE0BE3054B58}" name="Rank" dataDxfId="3">
      <calculatedColumnFormula>_xlfn.RANK.EQ(J2,$J$2:$J$61,0)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7604-01E1-40D6-8E3F-989E28D6C025}">
  <sheetPr codeName="Sheet1"/>
  <dimension ref="A1:R63"/>
  <sheetViews>
    <sheetView workbookViewId="0">
      <selection activeCell="C4" sqref="C4"/>
    </sheetView>
  </sheetViews>
  <sheetFormatPr defaultRowHeight="14.5"/>
  <cols>
    <col min="1" max="1" width="14.1796875" bestFit="1" customWidth="1"/>
    <col min="2" max="2" width="15.08984375" bestFit="1" customWidth="1"/>
    <col min="3" max="3" width="13.7265625" bestFit="1" customWidth="1"/>
    <col min="4" max="4" width="11.54296875" bestFit="1" customWidth="1"/>
    <col min="5" max="5" width="20.1796875" bestFit="1" customWidth="1"/>
    <col min="6" max="6" width="13.90625" bestFit="1" customWidth="1"/>
    <col min="7" max="7" width="21.08984375" bestFit="1" customWidth="1"/>
    <col min="8" max="8" width="18.26953125" bestFit="1" customWidth="1"/>
    <col min="9" max="9" width="18.90625" bestFit="1" customWidth="1"/>
    <col min="10" max="10" width="18" bestFit="1" customWidth="1"/>
    <col min="11" max="11" width="13.1796875" bestFit="1" customWidth="1"/>
    <col min="12" max="12" width="12.1796875" bestFit="1" customWidth="1"/>
    <col min="13" max="13" width="11.1796875" bestFit="1" customWidth="1"/>
  </cols>
  <sheetData>
    <row r="1" spans="1:18" s="1" customFormat="1" ht="16.5">
      <c r="A1" s="8" t="s">
        <v>60</v>
      </c>
      <c r="B1" s="9" t="s">
        <v>61</v>
      </c>
      <c r="C1" s="9" t="s">
        <v>62</v>
      </c>
      <c r="D1" s="9" t="s">
        <v>63</v>
      </c>
      <c r="E1" s="9" t="s">
        <v>80</v>
      </c>
      <c r="F1" s="9" t="s">
        <v>64</v>
      </c>
      <c r="G1" s="9" t="s">
        <v>65</v>
      </c>
      <c r="H1" s="9" t="s">
        <v>66</v>
      </c>
      <c r="I1" s="9" t="s">
        <v>79</v>
      </c>
      <c r="J1" s="9" t="s">
        <v>69</v>
      </c>
      <c r="K1" s="9" t="s">
        <v>67</v>
      </c>
      <c r="L1" s="9" t="s">
        <v>68</v>
      </c>
      <c r="M1" s="10" t="s">
        <v>70</v>
      </c>
      <c r="P1" s="16"/>
      <c r="Q1" s="17"/>
      <c r="R1" s="18"/>
    </row>
    <row r="2" spans="1:18">
      <c r="A2" s="6">
        <v>1</v>
      </c>
      <c r="B2" s="2" t="s">
        <v>0</v>
      </c>
      <c r="C2" s="4">
        <v>78</v>
      </c>
      <c r="D2" s="4">
        <v>65</v>
      </c>
      <c r="E2" s="5">
        <v>74</v>
      </c>
      <c r="F2" s="4">
        <v>82</v>
      </c>
      <c r="G2" s="4">
        <v>69</v>
      </c>
      <c r="H2" s="5">
        <v>88</v>
      </c>
      <c r="I2" s="5">
        <f>SUM(C2,D2,E2,F2,G2,)</f>
        <v>368</v>
      </c>
      <c r="J2" s="5">
        <f>(I2/500)*100</f>
        <v>73.599999999999994</v>
      </c>
      <c r="K2" s="5" t="str">
        <f>IF(I2&gt;200,"Pass","Fail")</f>
        <v>Pass</v>
      </c>
      <c r="L2" s="5" t="str">
        <f>IF(J2&gt;=90,"A+",IF(J2&gt;=80,"A",IF(J2&gt;=70,"B",IF(J2&gt;=60,"C",IF(J2&gt;=50,"D",IF(J2&gt;=40,"E","F"))))))</f>
        <v>B</v>
      </c>
      <c r="M2" s="7">
        <f>_xlfn.RANK.EQ(J2,$J$2:$J$61,0)</f>
        <v>24</v>
      </c>
      <c r="P2" s="19"/>
      <c r="Q2" s="20"/>
      <c r="R2" s="21"/>
    </row>
    <row r="3" spans="1:18">
      <c r="A3" s="6">
        <v>2</v>
      </c>
      <c r="B3" s="2" t="s">
        <v>24</v>
      </c>
      <c r="C3" s="4">
        <v>56</v>
      </c>
      <c r="D3" s="4">
        <v>72</v>
      </c>
      <c r="E3" s="5">
        <v>58</v>
      </c>
      <c r="F3" s="4">
        <v>61</v>
      </c>
      <c r="G3" s="4">
        <v>63</v>
      </c>
      <c r="H3" s="5">
        <v>91</v>
      </c>
      <c r="I3" s="5">
        <f t="shared" ref="I3:I61" si="0">SUM(C3,D3,E3,F3,G3,)</f>
        <v>310</v>
      </c>
      <c r="J3" s="5">
        <f t="shared" ref="J3:J61" si="1">(I3/500)*100</f>
        <v>62</v>
      </c>
      <c r="K3" s="5" t="str">
        <f t="shared" ref="K3:K61" si="2">IF(I3&gt;200,"Pass","Fail")</f>
        <v>Pass</v>
      </c>
      <c r="L3" s="5" t="str">
        <f t="shared" ref="L3:L61" si="3">IF(J3&gt;=90,"A+",IF(J3&gt;=80,"A",IF(J3&gt;=70,"B",IF(J3&gt;=60,"C",IF(J3&gt;=50,"D",IF(J3&gt;=40,"E","F"))))))</f>
        <v>C</v>
      </c>
      <c r="M3" s="7">
        <f t="shared" ref="M3:M61" si="4">_xlfn.RANK.EQ(J3,$J$2:$J$61,0)</f>
        <v>36</v>
      </c>
      <c r="P3" s="19"/>
      <c r="Q3" s="20"/>
      <c r="R3" s="21"/>
    </row>
    <row r="4" spans="1:18">
      <c r="A4" s="6">
        <v>3</v>
      </c>
      <c r="B4" s="2" t="s">
        <v>19</v>
      </c>
      <c r="C4" s="4">
        <v>89</v>
      </c>
      <c r="D4" s="4">
        <v>84</v>
      </c>
      <c r="E4" s="5">
        <v>86</v>
      </c>
      <c r="F4" s="4">
        <v>90</v>
      </c>
      <c r="G4" s="4">
        <v>88</v>
      </c>
      <c r="H4" s="5">
        <v>95</v>
      </c>
      <c r="I4" s="5">
        <f t="shared" si="0"/>
        <v>437</v>
      </c>
      <c r="J4" s="5">
        <f t="shared" si="1"/>
        <v>87.4</v>
      </c>
      <c r="K4" s="5" t="str">
        <f t="shared" si="2"/>
        <v>Pass</v>
      </c>
      <c r="L4" s="5" t="str">
        <f t="shared" si="3"/>
        <v>A</v>
      </c>
      <c r="M4" s="7">
        <f t="shared" si="4"/>
        <v>11</v>
      </c>
      <c r="P4" s="19"/>
      <c r="Q4" s="20"/>
      <c r="R4" s="21"/>
    </row>
    <row r="5" spans="1:18">
      <c r="A5" s="6">
        <v>4</v>
      </c>
      <c r="B5" s="2" t="s">
        <v>4</v>
      </c>
      <c r="C5" s="4">
        <v>45</v>
      </c>
      <c r="D5" s="4">
        <v>51</v>
      </c>
      <c r="E5" s="5">
        <v>55</v>
      </c>
      <c r="F5" s="4">
        <v>48</v>
      </c>
      <c r="G5" s="4">
        <v>50</v>
      </c>
      <c r="H5" s="5">
        <v>76</v>
      </c>
      <c r="I5" s="5">
        <f t="shared" si="0"/>
        <v>249</v>
      </c>
      <c r="J5" s="5">
        <f t="shared" si="1"/>
        <v>49.8</v>
      </c>
      <c r="K5" s="5" t="str">
        <f t="shared" si="2"/>
        <v>Pass</v>
      </c>
      <c r="L5" s="5" t="str">
        <f t="shared" si="3"/>
        <v>E</v>
      </c>
      <c r="M5" s="7">
        <f t="shared" si="4"/>
        <v>48</v>
      </c>
      <c r="P5" s="19"/>
      <c r="Q5" s="20"/>
      <c r="R5" s="21"/>
    </row>
    <row r="6" spans="1:18">
      <c r="A6" s="6">
        <v>5</v>
      </c>
      <c r="B6" s="2" t="s">
        <v>52</v>
      </c>
      <c r="C6" s="4">
        <v>92</v>
      </c>
      <c r="D6" s="4">
        <v>88</v>
      </c>
      <c r="E6" s="5">
        <v>91</v>
      </c>
      <c r="F6" s="4">
        <v>85</v>
      </c>
      <c r="G6" s="4">
        <v>90</v>
      </c>
      <c r="H6" s="5">
        <v>97</v>
      </c>
      <c r="I6" s="5">
        <f t="shared" si="0"/>
        <v>446</v>
      </c>
      <c r="J6" s="5">
        <f t="shared" si="1"/>
        <v>89.2</v>
      </c>
      <c r="K6" s="5" t="str">
        <f t="shared" si="2"/>
        <v>Pass</v>
      </c>
      <c r="L6" s="5" t="str">
        <f t="shared" si="3"/>
        <v>A</v>
      </c>
      <c r="M6" s="7">
        <f t="shared" si="4"/>
        <v>7</v>
      </c>
      <c r="P6" s="19"/>
      <c r="Q6" s="20"/>
      <c r="R6" s="21"/>
    </row>
    <row r="7" spans="1:18">
      <c r="A7" s="6">
        <v>6</v>
      </c>
      <c r="B7" s="2" t="s">
        <v>38</v>
      </c>
      <c r="C7" s="4">
        <v>67</v>
      </c>
      <c r="D7" s="4">
        <v>70</v>
      </c>
      <c r="E7" s="5">
        <v>60</v>
      </c>
      <c r="F7" s="4">
        <v>64</v>
      </c>
      <c r="G7" s="4">
        <v>66</v>
      </c>
      <c r="H7" s="5">
        <v>85</v>
      </c>
      <c r="I7" s="5">
        <f t="shared" si="0"/>
        <v>327</v>
      </c>
      <c r="J7" s="5">
        <f t="shared" si="1"/>
        <v>65.400000000000006</v>
      </c>
      <c r="K7" s="5" t="str">
        <f t="shared" si="2"/>
        <v>Pass</v>
      </c>
      <c r="L7" s="5" t="str">
        <f t="shared" si="3"/>
        <v>C</v>
      </c>
      <c r="M7" s="7">
        <f t="shared" si="4"/>
        <v>32</v>
      </c>
      <c r="P7" s="19"/>
      <c r="Q7" s="20"/>
      <c r="R7" s="21"/>
    </row>
    <row r="8" spans="1:18">
      <c r="A8" s="6">
        <v>7</v>
      </c>
      <c r="B8" s="2" t="s">
        <v>1</v>
      </c>
      <c r="C8" s="4">
        <v>38</v>
      </c>
      <c r="D8" s="4">
        <v>42</v>
      </c>
      <c r="E8" s="5">
        <v>40</v>
      </c>
      <c r="F8" s="4">
        <v>45</v>
      </c>
      <c r="G8" s="4">
        <v>39</v>
      </c>
      <c r="H8" s="5">
        <v>72</v>
      </c>
      <c r="I8" s="5">
        <f t="shared" si="0"/>
        <v>204</v>
      </c>
      <c r="J8" s="5">
        <f t="shared" si="1"/>
        <v>40.799999999999997</v>
      </c>
      <c r="K8" s="5" t="str">
        <f t="shared" si="2"/>
        <v>Pass</v>
      </c>
      <c r="L8" s="5" t="str">
        <f t="shared" si="3"/>
        <v>E</v>
      </c>
      <c r="M8" s="7">
        <f t="shared" si="4"/>
        <v>54</v>
      </c>
      <c r="P8" s="19"/>
      <c r="Q8" s="20"/>
      <c r="R8" s="21"/>
    </row>
    <row r="9" spans="1:18">
      <c r="A9" s="6">
        <v>8</v>
      </c>
      <c r="B9" s="2" t="s">
        <v>47</v>
      </c>
      <c r="C9" s="4">
        <v>81</v>
      </c>
      <c r="D9" s="4">
        <v>79</v>
      </c>
      <c r="E9" s="5">
        <v>83</v>
      </c>
      <c r="F9" s="4">
        <v>75</v>
      </c>
      <c r="G9" s="4">
        <v>77</v>
      </c>
      <c r="H9" s="5">
        <v>93</v>
      </c>
      <c r="I9" s="5">
        <f t="shared" si="0"/>
        <v>395</v>
      </c>
      <c r="J9" s="5">
        <f t="shared" si="1"/>
        <v>79</v>
      </c>
      <c r="K9" s="5" t="str">
        <f t="shared" si="2"/>
        <v>Pass</v>
      </c>
      <c r="L9" s="5" t="str">
        <f t="shared" si="3"/>
        <v>B</v>
      </c>
      <c r="M9" s="7">
        <f t="shared" si="4"/>
        <v>18</v>
      </c>
      <c r="P9" s="19"/>
      <c r="Q9" s="20"/>
      <c r="R9" s="21"/>
    </row>
    <row r="10" spans="1:18">
      <c r="A10" s="6">
        <v>9</v>
      </c>
      <c r="B10" s="2" t="s">
        <v>30</v>
      </c>
      <c r="C10" s="4">
        <v>54</v>
      </c>
      <c r="D10" s="4">
        <v>58</v>
      </c>
      <c r="E10" s="5">
        <v>49</v>
      </c>
      <c r="F10" s="4">
        <v>52</v>
      </c>
      <c r="G10" s="4">
        <v>56</v>
      </c>
      <c r="H10" s="5">
        <v>80</v>
      </c>
      <c r="I10" s="5">
        <f t="shared" si="0"/>
        <v>269</v>
      </c>
      <c r="J10" s="5">
        <f t="shared" si="1"/>
        <v>53.800000000000004</v>
      </c>
      <c r="K10" s="5" t="str">
        <f t="shared" si="2"/>
        <v>Pass</v>
      </c>
      <c r="L10" s="5" t="str">
        <f t="shared" si="3"/>
        <v>D</v>
      </c>
      <c r="M10" s="7">
        <f t="shared" si="4"/>
        <v>43</v>
      </c>
      <c r="P10" s="19"/>
      <c r="Q10" s="20"/>
      <c r="R10" s="21"/>
    </row>
    <row r="11" spans="1:18">
      <c r="A11" s="6">
        <v>10</v>
      </c>
      <c r="B11" s="2" t="s">
        <v>10</v>
      </c>
      <c r="C11" s="4">
        <v>73</v>
      </c>
      <c r="D11" s="4">
        <v>68</v>
      </c>
      <c r="E11" s="5">
        <v>69</v>
      </c>
      <c r="F11" s="4">
        <v>71</v>
      </c>
      <c r="G11" s="4">
        <v>74</v>
      </c>
      <c r="H11" s="5">
        <v>87</v>
      </c>
      <c r="I11" s="5">
        <f t="shared" si="0"/>
        <v>355</v>
      </c>
      <c r="J11" s="5">
        <f t="shared" si="1"/>
        <v>71</v>
      </c>
      <c r="K11" s="5" t="str">
        <f t="shared" si="2"/>
        <v>Pass</v>
      </c>
      <c r="L11" s="5" t="str">
        <f t="shared" si="3"/>
        <v>B</v>
      </c>
      <c r="M11" s="7">
        <f t="shared" si="4"/>
        <v>25</v>
      </c>
      <c r="P11" s="19"/>
      <c r="Q11" s="20"/>
      <c r="R11" s="21"/>
    </row>
    <row r="12" spans="1:18">
      <c r="A12" s="6">
        <v>11</v>
      </c>
      <c r="B12" s="2" t="s">
        <v>22</v>
      </c>
      <c r="C12" s="4">
        <v>61</v>
      </c>
      <c r="D12" s="4">
        <v>64</v>
      </c>
      <c r="E12" s="5">
        <v>62</v>
      </c>
      <c r="F12" s="4">
        <v>59</v>
      </c>
      <c r="G12" s="4">
        <v>60</v>
      </c>
      <c r="H12" s="5">
        <v>82</v>
      </c>
      <c r="I12" s="5">
        <f t="shared" si="0"/>
        <v>306</v>
      </c>
      <c r="J12" s="5">
        <f t="shared" si="1"/>
        <v>61.199999999999996</v>
      </c>
      <c r="K12" s="5" t="str">
        <f t="shared" si="2"/>
        <v>Pass</v>
      </c>
      <c r="L12" s="5" t="str">
        <f t="shared" si="3"/>
        <v>C</v>
      </c>
      <c r="M12" s="7">
        <f t="shared" si="4"/>
        <v>37</v>
      </c>
      <c r="P12" s="19"/>
      <c r="Q12" s="20"/>
      <c r="R12" s="21"/>
    </row>
    <row r="13" spans="1:18">
      <c r="A13" s="6">
        <v>12</v>
      </c>
      <c r="B13" s="2" t="s">
        <v>57</v>
      </c>
      <c r="C13" s="4">
        <v>95</v>
      </c>
      <c r="D13" s="4">
        <v>91</v>
      </c>
      <c r="E13" s="5">
        <v>94</v>
      </c>
      <c r="F13" s="4">
        <v>93</v>
      </c>
      <c r="G13" s="4">
        <v>96</v>
      </c>
      <c r="H13" s="5">
        <v>98</v>
      </c>
      <c r="I13" s="5">
        <f t="shared" si="0"/>
        <v>469</v>
      </c>
      <c r="J13" s="5">
        <f t="shared" si="1"/>
        <v>93.8</v>
      </c>
      <c r="K13" s="5" t="str">
        <f t="shared" si="2"/>
        <v>Pass</v>
      </c>
      <c r="L13" s="5" t="str">
        <f t="shared" si="3"/>
        <v>A+</v>
      </c>
      <c r="M13" s="7">
        <f t="shared" si="4"/>
        <v>2</v>
      </c>
      <c r="P13" s="19"/>
      <c r="Q13" s="20"/>
      <c r="R13" s="21"/>
    </row>
    <row r="14" spans="1:18">
      <c r="A14" s="6">
        <v>13</v>
      </c>
      <c r="B14" s="2" t="s">
        <v>28</v>
      </c>
      <c r="C14" s="4">
        <v>40</v>
      </c>
      <c r="D14" s="4">
        <v>39</v>
      </c>
      <c r="E14" s="5">
        <v>33</v>
      </c>
      <c r="F14" s="4">
        <v>44</v>
      </c>
      <c r="G14" s="4">
        <v>31</v>
      </c>
      <c r="H14" s="5">
        <v>74</v>
      </c>
      <c r="I14" s="5">
        <f t="shared" si="0"/>
        <v>187</v>
      </c>
      <c r="J14" s="5">
        <f t="shared" si="1"/>
        <v>37.4</v>
      </c>
      <c r="K14" s="5" t="str">
        <f t="shared" si="2"/>
        <v>Fail</v>
      </c>
      <c r="L14" s="5" t="str">
        <f t="shared" si="3"/>
        <v>F</v>
      </c>
      <c r="M14" s="7">
        <f t="shared" si="4"/>
        <v>57</v>
      </c>
      <c r="P14" s="19"/>
      <c r="Q14" s="20"/>
      <c r="R14" s="21"/>
    </row>
    <row r="15" spans="1:18">
      <c r="A15" s="6">
        <v>14</v>
      </c>
      <c r="B15" s="2" t="s">
        <v>41</v>
      </c>
      <c r="C15" s="4">
        <v>84</v>
      </c>
      <c r="D15" s="4">
        <v>80</v>
      </c>
      <c r="E15" s="5">
        <v>88</v>
      </c>
      <c r="F15" s="4">
        <v>86</v>
      </c>
      <c r="G15" s="4">
        <v>82</v>
      </c>
      <c r="H15" s="5">
        <v>92</v>
      </c>
      <c r="I15" s="5">
        <f t="shared" si="0"/>
        <v>420</v>
      </c>
      <c r="J15" s="5">
        <f t="shared" si="1"/>
        <v>84</v>
      </c>
      <c r="K15" s="5" t="str">
        <f t="shared" si="2"/>
        <v>Pass</v>
      </c>
      <c r="L15" s="5" t="str">
        <f t="shared" si="3"/>
        <v>A</v>
      </c>
      <c r="M15" s="7">
        <f t="shared" si="4"/>
        <v>14</v>
      </c>
      <c r="P15" s="19"/>
      <c r="Q15" s="20"/>
      <c r="R15" s="21"/>
    </row>
    <row r="16" spans="1:18">
      <c r="A16" s="6">
        <v>15</v>
      </c>
      <c r="B16" s="2" t="s">
        <v>44</v>
      </c>
      <c r="C16" s="4">
        <v>69</v>
      </c>
      <c r="D16" s="4">
        <v>72</v>
      </c>
      <c r="E16" s="5">
        <v>65</v>
      </c>
      <c r="F16" s="4">
        <v>68</v>
      </c>
      <c r="G16" s="4">
        <v>70</v>
      </c>
      <c r="H16" s="5">
        <v>86</v>
      </c>
      <c r="I16" s="5">
        <f t="shared" si="0"/>
        <v>344</v>
      </c>
      <c r="J16" s="5">
        <f t="shared" si="1"/>
        <v>68.8</v>
      </c>
      <c r="K16" s="5" t="str">
        <f t="shared" si="2"/>
        <v>Pass</v>
      </c>
      <c r="L16" s="5" t="str">
        <f t="shared" si="3"/>
        <v>C</v>
      </c>
      <c r="M16" s="7">
        <f t="shared" si="4"/>
        <v>29</v>
      </c>
      <c r="P16" s="19"/>
      <c r="Q16" s="20"/>
      <c r="R16" s="21"/>
    </row>
    <row r="17" spans="1:18">
      <c r="A17" s="6">
        <v>16</v>
      </c>
      <c r="B17" s="2" t="s">
        <v>16</v>
      </c>
      <c r="C17" s="4">
        <v>52</v>
      </c>
      <c r="D17" s="4">
        <v>55</v>
      </c>
      <c r="E17" s="5">
        <v>54</v>
      </c>
      <c r="F17" s="4">
        <v>50</v>
      </c>
      <c r="G17" s="4">
        <v>53</v>
      </c>
      <c r="H17" s="5">
        <v>78</v>
      </c>
      <c r="I17" s="5">
        <f t="shared" si="0"/>
        <v>264</v>
      </c>
      <c r="J17" s="5">
        <f t="shared" si="1"/>
        <v>52.800000000000004</v>
      </c>
      <c r="K17" s="5" t="str">
        <f t="shared" si="2"/>
        <v>Pass</v>
      </c>
      <c r="L17" s="5" t="str">
        <f t="shared" si="3"/>
        <v>D</v>
      </c>
      <c r="M17" s="7">
        <f t="shared" si="4"/>
        <v>44</v>
      </c>
      <c r="P17" s="19"/>
      <c r="Q17" s="20"/>
      <c r="R17" s="21"/>
    </row>
    <row r="18" spans="1:18">
      <c r="A18" s="6">
        <v>17</v>
      </c>
      <c r="B18" s="2" t="s">
        <v>53</v>
      </c>
      <c r="C18" s="4">
        <v>77</v>
      </c>
      <c r="D18" s="4">
        <v>75</v>
      </c>
      <c r="E18" s="5">
        <v>81</v>
      </c>
      <c r="F18" s="4">
        <v>79</v>
      </c>
      <c r="G18" s="4">
        <v>76</v>
      </c>
      <c r="H18" s="5">
        <v>90</v>
      </c>
      <c r="I18" s="5">
        <f t="shared" si="0"/>
        <v>388</v>
      </c>
      <c r="J18" s="5">
        <f t="shared" si="1"/>
        <v>77.600000000000009</v>
      </c>
      <c r="K18" s="5" t="str">
        <f t="shared" si="2"/>
        <v>Pass</v>
      </c>
      <c r="L18" s="5" t="str">
        <f t="shared" si="3"/>
        <v>B</v>
      </c>
      <c r="M18" s="7">
        <f t="shared" si="4"/>
        <v>20</v>
      </c>
      <c r="P18" s="22"/>
      <c r="Q18" s="23"/>
      <c r="R18" s="24"/>
    </row>
    <row r="19" spans="1:18">
      <c r="A19" s="6">
        <v>18</v>
      </c>
      <c r="B19" s="2" t="s">
        <v>17</v>
      </c>
      <c r="C19" s="4">
        <v>34</v>
      </c>
      <c r="D19" s="4">
        <v>39</v>
      </c>
      <c r="E19" s="5">
        <v>37</v>
      </c>
      <c r="F19" s="4">
        <v>41</v>
      </c>
      <c r="G19" s="4">
        <v>36</v>
      </c>
      <c r="H19" s="5">
        <v>70</v>
      </c>
      <c r="I19" s="5">
        <f t="shared" si="0"/>
        <v>187</v>
      </c>
      <c r="J19" s="5">
        <f t="shared" si="1"/>
        <v>37.4</v>
      </c>
      <c r="K19" s="5" t="str">
        <f t="shared" si="2"/>
        <v>Fail</v>
      </c>
      <c r="L19" s="5" t="str">
        <f t="shared" si="3"/>
        <v>F</v>
      </c>
      <c r="M19" s="7">
        <f t="shared" si="4"/>
        <v>57</v>
      </c>
    </row>
    <row r="20" spans="1:18">
      <c r="A20" s="6">
        <v>19</v>
      </c>
      <c r="B20" s="2" t="s">
        <v>6</v>
      </c>
      <c r="C20" s="4">
        <v>88</v>
      </c>
      <c r="D20" s="4">
        <v>85</v>
      </c>
      <c r="E20" s="5">
        <v>87</v>
      </c>
      <c r="F20" s="4">
        <v>90</v>
      </c>
      <c r="G20" s="4">
        <v>89</v>
      </c>
      <c r="H20" s="5">
        <v>94</v>
      </c>
      <c r="I20" s="5">
        <f t="shared" si="0"/>
        <v>439</v>
      </c>
      <c r="J20" s="5">
        <f t="shared" si="1"/>
        <v>87.8</v>
      </c>
      <c r="K20" s="5" t="str">
        <f t="shared" si="2"/>
        <v>Pass</v>
      </c>
      <c r="L20" s="5" t="str">
        <f t="shared" si="3"/>
        <v>A</v>
      </c>
      <c r="M20" s="7">
        <f t="shared" si="4"/>
        <v>10</v>
      </c>
    </row>
    <row r="21" spans="1:18">
      <c r="A21" s="6">
        <v>20</v>
      </c>
      <c r="B21" s="2" t="s">
        <v>11</v>
      </c>
      <c r="C21" s="4">
        <v>63</v>
      </c>
      <c r="D21" s="4">
        <v>60</v>
      </c>
      <c r="E21" s="5">
        <v>64</v>
      </c>
      <c r="F21" s="4">
        <v>66</v>
      </c>
      <c r="G21" s="4">
        <v>61</v>
      </c>
      <c r="H21" s="5">
        <v>84</v>
      </c>
      <c r="I21" s="5">
        <f t="shared" si="0"/>
        <v>314</v>
      </c>
      <c r="J21" s="5">
        <f t="shared" si="1"/>
        <v>62.8</v>
      </c>
      <c r="K21" s="5" t="str">
        <f t="shared" si="2"/>
        <v>Pass</v>
      </c>
      <c r="L21" s="5" t="str">
        <f t="shared" si="3"/>
        <v>C</v>
      </c>
      <c r="M21" s="7">
        <f t="shared" si="4"/>
        <v>34</v>
      </c>
    </row>
    <row r="22" spans="1:18">
      <c r="A22" s="6">
        <v>21</v>
      </c>
      <c r="B22" s="2" t="s">
        <v>39</v>
      </c>
      <c r="C22" s="4">
        <v>71</v>
      </c>
      <c r="D22" s="4">
        <v>69</v>
      </c>
      <c r="E22" s="5">
        <v>70</v>
      </c>
      <c r="F22" s="4">
        <v>73</v>
      </c>
      <c r="G22" s="4">
        <v>72</v>
      </c>
      <c r="H22" s="5">
        <v>88</v>
      </c>
      <c r="I22" s="5">
        <f t="shared" si="0"/>
        <v>355</v>
      </c>
      <c r="J22" s="5">
        <f t="shared" si="1"/>
        <v>71</v>
      </c>
      <c r="K22" s="5" t="str">
        <f t="shared" si="2"/>
        <v>Pass</v>
      </c>
      <c r="L22" s="5" t="str">
        <f t="shared" si="3"/>
        <v>B</v>
      </c>
      <c r="M22" s="7">
        <f t="shared" si="4"/>
        <v>25</v>
      </c>
    </row>
    <row r="23" spans="1:18">
      <c r="A23" s="6">
        <v>22</v>
      </c>
      <c r="B23" s="2" t="s">
        <v>23</v>
      </c>
      <c r="C23" s="4">
        <v>49</v>
      </c>
      <c r="D23" s="4">
        <v>52</v>
      </c>
      <c r="E23" s="5">
        <v>50</v>
      </c>
      <c r="F23" s="4">
        <v>48</v>
      </c>
      <c r="G23" s="4">
        <v>51</v>
      </c>
      <c r="H23" s="5">
        <v>75</v>
      </c>
      <c r="I23" s="5">
        <f t="shared" si="0"/>
        <v>250</v>
      </c>
      <c r="J23" s="5">
        <f t="shared" si="1"/>
        <v>50</v>
      </c>
      <c r="K23" s="5" t="str">
        <f t="shared" si="2"/>
        <v>Pass</v>
      </c>
      <c r="L23" s="5" t="str">
        <f t="shared" si="3"/>
        <v>D</v>
      </c>
      <c r="M23" s="7">
        <f t="shared" si="4"/>
        <v>47</v>
      </c>
    </row>
    <row r="24" spans="1:18">
      <c r="A24" s="6">
        <v>23</v>
      </c>
      <c r="B24" s="2" t="s">
        <v>18</v>
      </c>
      <c r="C24" s="4">
        <v>91</v>
      </c>
      <c r="D24" s="4">
        <v>93</v>
      </c>
      <c r="E24" s="5">
        <v>92</v>
      </c>
      <c r="F24" s="4">
        <v>89</v>
      </c>
      <c r="G24" s="4">
        <v>94</v>
      </c>
      <c r="H24" s="5">
        <v>96</v>
      </c>
      <c r="I24" s="5">
        <f t="shared" si="0"/>
        <v>459</v>
      </c>
      <c r="J24" s="5">
        <f t="shared" si="1"/>
        <v>91.8</v>
      </c>
      <c r="K24" s="5" t="str">
        <f t="shared" si="2"/>
        <v>Pass</v>
      </c>
      <c r="L24" s="5" t="str">
        <f t="shared" si="3"/>
        <v>A+</v>
      </c>
      <c r="M24" s="7">
        <f t="shared" si="4"/>
        <v>4</v>
      </c>
    </row>
    <row r="25" spans="1:18">
      <c r="A25" s="6">
        <v>24</v>
      </c>
      <c r="B25" s="2" t="s">
        <v>48</v>
      </c>
      <c r="C25" s="4">
        <v>58</v>
      </c>
      <c r="D25" s="4">
        <v>62</v>
      </c>
      <c r="E25" s="5">
        <v>60</v>
      </c>
      <c r="F25" s="4">
        <v>55</v>
      </c>
      <c r="G25" s="4">
        <v>59</v>
      </c>
      <c r="H25" s="5">
        <v>81</v>
      </c>
      <c r="I25" s="5">
        <f t="shared" si="0"/>
        <v>294</v>
      </c>
      <c r="J25" s="5">
        <f t="shared" si="1"/>
        <v>58.8</v>
      </c>
      <c r="K25" s="5" t="str">
        <f t="shared" si="2"/>
        <v>Pass</v>
      </c>
      <c r="L25" s="5" t="str">
        <f t="shared" si="3"/>
        <v>D</v>
      </c>
      <c r="M25" s="7">
        <f t="shared" si="4"/>
        <v>40</v>
      </c>
    </row>
    <row r="26" spans="1:18">
      <c r="A26" s="6">
        <v>25</v>
      </c>
      <c r="B26" s="2" t="s">
        <v>29</v>
      </c>
      <c r="C26" s="4">
        <v>76</v>
      </c>
      <c r="D26" s="4">
        <v>78</v>
      </c>
      <c r="E26" s="5">
        <v>77</v>
      </c>
      <c r="F26" s="4">
        <v>74</v>
      </c>
      <c r="G26" s="4">
        <v>75</v>
      </c>
      <c r="H26" s="5">
        <v>89</v>
      </c>
      <c r="I26" s="5">
        <f t="shared" si="0"/>
        <v>380</v>
      </c>
      <c r="J26" s="5">
        <f t="shared" si="1"/>
        <v>76</v>
      </c>
      <c r="K26" s="5" t="str">
        <f t="shared" si="2"/>
        <v>Pass</v>
      </c>
      <c r="L26" s="5" t="str">
        <f t="shared" si="3"/>
        <v>B</v>
      </c>
      <c r="M26" s="7">
        <f t="shared" si="4"/>
        <v>21</v>
      </c>
    </row>
    <row r="27" spans="1:18">
      <c r="A27" s="6">
        <v>26</v>
      </c>
      <c r="B27" s="2" t="s">
        <v>14</v>
      </c>
      <c r="C27" s="4">
        <v>44</v>
      </c>
      <c r="D27" s="4">
        <v>46</v>
      </c>
      <c r="E27" s="5">
        <v>45</v>
      </c>
      <c r="F27" s="4">
        <v>42</v>
      </c>
      <c r="G27" s="4">
        <v>43</v>
      </c>
      <c r="H27" s="5">
        <v>73</v>
      </c>
      <c r="I27" s="5">
        <f t="shared" si="0"/>
        <v>220</v>
      </c>
      <c r="J27" s="5">
        <f t="shared" si="1"/>
        <v>44</v>
      </c>
      <c r="K27" s="5" t="str">
        <f t="shared" si="2"/>
        <v>Pass</v>
      </c>
      <c r="L27" s="5" t="str">
        <f t="shared" si="3"/>
        <v>E</v>
      </c>
      <c r="M27" s="7">
        <f t="shared" si="4"/>
        <v>52</v>
      </c>
    </row>
    <row r="28" spans="1:18">
      <c r="A28" s="6">
        <v>27</v>
      </c>
      <c r="B28" s="2" t="s">
        <v>35</v>
      </c>
      <c r="C28" s="4">
        <v>85</v>
      </c>
      <c r="D28" s="4">
        <v>82</v>
      </c>
      <c r="E28" s="5">
        <v>84</v>
      </c>
      <c r="F28" s="4">
        <v>87</v>
      </c>
      <c r="G28" s="4">
        <v>83</v>
      </c>
      <c r="H28" s="5">
        <v>91</v>
      </c>
      <c r="I28" s="5">
        <f t="shared" si="0"/>
        <v>421</v>
      </c>
      <c r="J28" s="5">
        <f t="shared" si="1"/>
        <v>84.2</v>
      </c>
      <c r="K28" s="5" t="str">
        <f t="shared" si="2"/>
        <v>Pass</v>
      </c>
      <c r="L28" s="5" t="str">
        <f t="shared" si="3"/>
        <v>A</v>
      </c>
      <c r="M28" s="7">
        <f t="shared" si="4"/>
        <v>13</v>
      </c>
    </row>
    <row r="29" spans="1:18">
      <c r="A29" s="6">
        <v>28</v>
      </c>
      <c r="B29" s="2" t="s">
        <v>56</v>
      </c>
      <c r="C29" s="4">
        <v>66</v>
      </c>
      <c r="D29" s="4">
        <v>68</v>
      </c>
      <c r="E29" s="5">
        <v>67</v>
      </c>
      <c r="F29" s="4">
        <v>65</v>
      </c>
      <c r="G29" s="4">
        <v>64</v>
      </c>
      <c r="H29" s="5">
        <v>85</v>
      </c>
      <c r="I29" s="5">
        <f t="shared" si="0"/>
        <v>330</v>
      </c>
      <c r="J29" s="5">
        <f t="shared" si="1"/>
        <v>66</v>
      </c>
      <c r="K29" s="5" t="str">
        <f t="shared" si="2"/>
        <v>Pass</v>
      </c>
      <c r="L29" s="5" t="str">
        <f t="shared" si="3"/>
        <v>C</v>
      </c>
      <c r="M29" s="7">
        <f t="shared" si="4"/>
        <v>31</v>
      </c>
    </row>
    <row r="30" spans="1:18">
      <c r="A30" s="6">
        <v>29</v>
      </c>
      <c r="B30" s="2" t="s">
        <v>9</v>
      </c>
      <c r="C30" s="4">
        <v>20</v>
      </c>
      <c r="D30" s="4">
        <v>30</v>
      </c>
      <c r="E30" s="5">
        <v>31</v>
      </c>
      <c r="F30" s="4">
        <v>24</v>
      </c>
      <c r="G30" s="4">
        <v>41</v>
      </c>
      <c r="H30" s="5">
        <v>79</v>
      </c>
      <c r="I30" s="5">
        <f t="shared" si="0"/>
        <v>146</v>
      </c>
      <c r="J30" s="5">
        <f t="shared" si="1"/>
        <v>29.2</v>
      </c>
      <c r="K30" s="5" t="str">
        <f t="shared" si="2"/>
        <v>Fail</v>
      </c>
      <c r="L30" s="5" t="str">
        <f t="shared" si="3"/>
        <v>F</v>
      </c>
      <c r="M30" s="7">
        <f t="shared" si="4"/>
        <v>60</v>
      </c>
    </row>
    <row r="31" spans="1:18">
      <c r="A31" s="6">
        <v>30</v>
      </c>
      <c r="B31" s="2" t="s">
        <v>21</v>
      </c>
      <c r="C31" s="4">
        <v>90</v>
      </c>
      <c r="D31" s="4">
        <v>88</v>
      </c>
      <c r="E31" s="5">
        <v>91</v>
      </c>
      <c r="F31" s="4">
        <v>92</v>
      </c>
      <c r="G31" s="4">
        <v>89</v>
      </c>
      <c r="H31" s="5">
        <v>97</v>
      </c>
      <c r="I31" s="5">
        <f t="shared" si="0"/>
        <v>450</v>
      </c>
      <c r="J31" s="5">
        <f t="shared" si="1"/>
        <v>90</v>
      </c>
      <c r="K31" s="5" t="str">
        <f t="shared" si="2"/>
        <v>Pass</v>
      </c>
      <c r="L31" s="5" t="str">
        <f t="shared" si="3"/>
        <v>A+</v>
      </c>
      <c r="M31" s="7">
        <f t="shared" si="4"/>
        <v>6</v>
      </c>
    </row>
    <row r="32" spans="1:18">
      <c r="A32" s="6">
        <v>31</v>
      </c>
      <c r="B32" s="2" t="s">
        <v>34</v>
      </c>
      <c r="C32" s="4">
        <v>72</v>
      </c>
      <c r="D32" s="4">
        <v>70</v>
      </c>
      <c r="E32" s="5">
        <v>71</v>
      </c>
      <c r="F32" s="4">
        <v>68</v>
      </c>
      <c r="G32" s="4">
        <v>69</v>
      </c>
      <c r="H32" s="5">
        <v>86</v>
      </c>
      <c r="I32" s="5">
        <f t="shared" si="0"/>
        <v>350</v>
      </c>
      <c r="J32" s="5">
        <f t="shared" si="1"/>
        <v>70</v>
      </c>
      <c r="K32" s="5" t="str">
        <f t="shared" si="2"/>
        <v>Pass</v>
      </c>
      <c r="L32" s="5" t="str">
        <f t="shared" si="3"/>
        <v>B</v>
      </c>
      <c r="M32" s="7">
        <f t="shared" si="4"/>
        <v>27</v>
      </c>
    </row>
    <row r="33" spans="1:13">
      <c r="A33" s="6">
        <v>32</v>
      </c>
      <c r="B33" s="2" t="s">
        <v>33</v>
      </c>
      <c r="C33" s="4">
        <v>39</v>
      </c>
      <c r="D33" s="4">
        <v>41</v>
      </c>
      <c r="E33" s="5">
        <v>40</v>
      </c>
      <c r="F33" s="4">
        <v>38</v>
      </c>
      <c r="G33" s="4">
        <v>42</v>
      </c>
      <c r="H33" s="5">
        <v>71</v>
      </c>
      <c r="I33" s="5">
        <f t="shared" si="0"/>
        <v>200</v>
      </c>
      <c r="J33" s="5">
        <f t="shared" si="1"/>
        <v>40</v>
      </c>
      <c r="K33" s="5" t="str">
        <f t="shared" si="2"/>
        <v>Fail</v>
      </c>
      <c r="L33" s="5" t="str">
        <f t="shared" si="3"/>
        <v>E</v>
      </c>
      <c r="M33" s="7">
        <f t="shared" si="4"/>
        <v>55</v>
      </c>
    </row>
    <row r="34" spans="1:13">
      <c r="A34" s="6">
        <v>33</v>
      </c>
      <c r="B34" s="2" t="s">
        <v>51</v>
      </c>
      <c r="C34" s="4">
        <v>83</v>
      </c>
      <c r="D34" s="4">
        <v>81</v>
      </c>
      <c r="E34" s="5">
        <v>82</v>
      </c>
      <c r="F34" s="4">
        <v>85</v>
      </c>
      <c r="G34" s="4">
        <v>84</v>
      </c>
      <c r="H34" s="5">
        <v>92</v>
      </c>
      <c r="I34" s="5">
        <f t="shared" si="0"/>
        <v>415</v>
      </c>
      <c r="J34" s="5">
        <f t="shared" si="1"/>
        <v>83</v>
      </c>
      <c r="K34" s="5" t="str">
        <f t="shared" si="2"/>
        <v>Pass</v>
      </c>
      <c r="L34" s="5" t="str">
        <f t="shared" si="3"/>
        <v>A</v>
      </c>
      <c r="M34" s="7">
        <f t="shared" si="4"/>
        <v>15</v>
      </c>
    </row>
    <row r="35" spans="1:13">
      <c r="A35" s="6">
        <v>34</v>
      </c>
      <c r="B35" s="2" t="s">
        <v>45</v>
      </c>
      <c r="C35" s="4">
        <v>60</v>
      </c>
      <c r="D35" s="4">
        <v>30</v>
      </c>
      <c r="E35" s="5">
        <v>23</v>
      </c>
      <c r="F35" s="4">
        <v>40</v>
      </c>
      <c r="G35" s="4">
        <v>25</v>
      </c>
      <c r="H35" s="5">
        <v>83</v>
      </c>
      <c r="I35" s="5">
        <f t="shared" si="0"/>
        <v>178</v>
      </c>
      <c r="J35" s="5">
        <f t="shared" si="1"/>
        <v>35.6</v>
      </c>
      <c r="K35" s="5" t="str">
        <f t="shared" si="2"/>
        <v>Fail</v>
      </c>
      <c r="L35" s="5" t="str">
        <f t="shared" si="3"/>
        <v>F</v>
      </c>
      <c r="M35" s="7">
        <f t="shared" si="4"/>
        <v>59</v>
      </c>
    </row>
    <row r="36" spans="1:13">
      <c r="A36" s="6">
        <v>35</v>
      </c>
      <c r="B36" s="2" t="s">
        <v>7</v>
      </c>
      <c r="C36" s="4">
        <v>94</v>
      </c>
      <c r="D36" s="4">
        <v>96</v>
      </c>
      <c r="E36" s="5">
        <v>93</v>
      </c>
      <c r="F36" s="4">
        <v>95</v>
      </c>
      <c r="G36" s="4">
        <v>97</v>
      </c>
      <c r="H36" s="5">
        <v>99</v>
      </c>
      <c r="I36" s="5">
        <f t="shared" si="0"/>
        <v>475</v>
      </c>
      <c r="J36" s="5">
        <f t="shared" si="1"/>
        <v>95</v>
      </c>
      <c r="K36" s="5" t="str">
        <f t="shared" si="2"/>
        <v>Pass</v>
      </c>
      <c r="L36" s="5" t="str">
        <f t="shared" si="3"/>
        <v>A+</v>
      </c>
      <c r="M36" s="7">
        <f t="shared" si="4"/>
        <v>1</v>
      </c>
    </row>
    <row r="37" spans="1:13">
      <c r="A37" s="6">
        <v>36</v>
      </c>
      <c r="B37" s="2" t="s">
        <v>37</v>
      </c>
      <c r="C37" s="4">
        <v>48</v>
      </c>
      <c r="D37" s="4">
        <v>45</v>
      </c>
      <c r="E37" s="5">
        <v>49</v>
      </c>
      <c r="F37" s="4">
        <v>47</v>
      </c>
      <c r="G37" s="4">
        <v>46</v>
      </c>
      <c r="H37" s="5">
        <v>76</v>
      </c>
      <c r="I37" s="5">
        <f t="shared" si="0"/>
        <v>235</v>
      </c>
      <c r="J37" s="5">
        <f t="shared" si="1"/>
        <v>47</v>
      </c>
      <c r="K37" s="5" t="str">
        <f t="shared" si="2"/>
        <v>Pass</v>
      </c>
      <c r="L37" s="5" t="str">
        <f t="shared" si="3"/>
        <v>E</v>
      </c>
      <c r="M37" s="7">
        <f t="shared" si="4"/>
        <v>49</v>
      </c>
    </row>
    <row r="38" spans="1:13">
      <c r="A38" s="6">
        <v>37</v>
      </c>
      <c r="B38" s="2" t="s">
        <v>3</v>
      </c>
      <c r="C38" s="4">
        <v>79</v>
      </c>
      <c r="D38" s="4">
        <v>77</v>
      </c>
      <c r="E38" s="5">
        <v>78</v>
      </c>
      <c r="F38" s="4">
        <v>80</v>
      </c>
      <c r="G38" s="4">
        <v>76</v>
      </c>
      <c r="H38" s="5">
        <v>90</v>
      </c>
      <c r="I38" s="5">
        <f t="shared" si="0"/>
        <v>390</v>
      </c>
      <c r="J38" s="5">
        <f t="shared" si="1"/>
        <v>78</v>
      </c>
      <c r="K38" s="5" t="str">
        <f t="shared" si="2"/>
        <v>Pass</v>
      </c>
      <c r="L38" s="5" t="str">
        <f t="shared" si="3"/>
        <v>B</v>
      </c>
      <c r="M38" s="7">
        <f t="shared" si="4"/>
        <v>19</v>
      </c>
    </row>
    <row r="39" spans="1:13">
      <c r="A39" s="6">
        <v>38</v>
      </c>
      <c r="B39" s="2" t="s">
        <v>8</v>
      </c>
      <c r="C39" s="4">
        <v>55</v>
      </c>
      <c r="D39" s="4">
        <v>53</v>
      </c>
      <c r="E39" s="5">
        <v>54</v>
      </c>
      <c r="F39" s="4">
        <v>57</v>
      </c>
      <c r="G39" s="4">
        <v>56</v>
      </c>
      <c r="H39" s="5">
        <v>82</v>
      </c>
      <c r="I39" s="5">
        <f t="shared" si="0"/>
        <v>275</v>
      </c>
      <c r="J39" s="5">
        <f t="shared" si="1"/>
        <v>55.000000000000007</v>
      </c>
      <c r="K39" s="5" t="str">
        <f t="shared" si="2"/>
        <v>Pass</v>
      </c>
      <c r="L39" s="5" t="str">
        <f t="shared" si="3"/>
        <v>D</v>
      </c>
      <c r="M39" s="7">
        <f t="shared" si="4"/>
        <v>42</v>
      </c>
    </row>
    <row r="40" spans="1:13">
      <c r="A40" s="6">
        <v>39</v>
      </c>
      <c r="B40" s="2" t="s">
        <v>26</v>
      </c>
      <c r="C40" s="4">
        <v>87</v>
      </c>
      <c r="D40" s="4">
        <v>89</v>
      </c>
      <c r="E40" s="5">
        <v>88</v>
      </c>
      <c r="F40" s="4">
        <v>86</v>
      </c>
      <c r="G40" s="4">
        <v>90</v>
      </c>
      <c r="H40" s="5">
        <v>94</v>
      </c>
      <c r="I40" s="5">
        <f t="shared" si="0"/>
        <v>440</v>
      </c>
      <c r="J40" s="5">
        <f t="shared" si="1"/>
        <v>88</v>
      </c>
      <c r="K40" s="5" t="str">
        <f t="shared" si="2"/>
        <v>Pass</v>
      </c>
      <c r="L40" s="5" t="str">
        <f t="shared" si="3"/>
        <v>A</v>
      </c>
      <c r="M40" s="7">
        <f t="shared" si="4"/>
        <v>8</v>
      </c>
    </row>
    <row r="41" spans="1:13">
      <c r="A41" s="6">
        <v>40</v>
      </c>
      <c r="B41" s="2" t="s">
        <v>58</v>
      </c>
      <c r="C41" s="4">
        <v>62</v>
      </c>
      <c r="D41" s="4">
        <v>65</v>
      </c>
      <c r="E41" s="5">
        <v>63</v>
      </c>
      <c r="F41" s="4">
        <v>60</v>
      </c>
      <c r="G41" s="4">
        <v>64</v>
      </c>
      <c r="H41" s="5">
        <v>84</v>
      </c>
      <c r="I41" s="5">
        <f t="shared" si="0"/>
        <v>314</v>
      </c>
      <c r="J41" s="5">
        <f t="shared" si="1"/>
        <v>62.8</v>
      </c>
      <c r="K41" s="5" t="str">
        <f t="shared" si="2"/>
        <v>Pass</v>
      </c>
      <c r="L41" s="5" t="str">
        <f t="shared" si="3"/>
        <v>C</v>
      </c>
      <c r="M41" s="7">
        <f t="shared" si="4"/>
        <v>34</v>
      </c>
    </row>
    <row r="42" spans="1:13">
      <c r="A42" s="6">
        <v>41</v>
      </c>
      <c r="B42" s="2" t="s">
        <v>40</v>
      </c>
      <c r="C42" s="4">
        <v>75</v>
      </c>
      <c r="D42" s="4">
        <v>73</v>
      </c>
      <c r="E42" s="5">
        <v>74</v>
      </c>
      <c r="F42" s="4">
        <v>78</v>
      </c>
      <c r="G42" s="4">
        <v>76</v>
      </c>
      <c r="H42" s="5">
        <v>88</v>
      </c>
      <c r="I42" s="5">
        <f t="shared" si="0"/>
        <v>376</v>
      </c>
      <c r="J42" s="5">
        <f t="shared" si="1"/>
        <v>75.2</v>
      </c>
      <c r="K42" s="5" t="str">
        <f t="shared" si="2"/>
        <v>Pass</v>
      </c>
      <c r="L42" s="5" t="str">
        <f t="shared" si="3"/>
        <v>B</v>
      </c>
      <c r="M42" s="7">
        <f t="shared" si="4"/>
        <v>22</v>
      </c>
    </row>
    <row r="43" spans="1:13">
      <c r="A43" s="6">
        <v>42</v>
      </c>
      <c r="B43" s="2" t="s">
        <v>15</v>
      </c>
      <c r="C43" s="4">
        <v>40</v>
      </c>
      <c r="D43" s="4">
        <v>42</v>
      </c>
      <c r="E43" s="5">
        <v>27</v>
      </c>
      <c r="F43" s="4">
        <v>39</v>
      </c>
      <c r="G43" s="4">
        <v>40</v>
      </c>
      <c r="H43" s="5">
        <v>41</v>
      </c>
      <c r="I43" s="5">
        <f t="shared" si="0"/>
        <v>188</v>
      </c>
      <c r="J43" s="5">
        <f t="shared" si="1"/>
        <v>37.6</v>
      </c>
      <c r="K43" s="5" t="str">
        <f t="shared" si="2"/>
        <v>Fail</v>
      </c>
      <c r="L43" s="5" t="str">
        <f t="shared" si="3"/>
        <v>F</v>
      </c>
      <c r="M43" s="7">
        <f t="shared" si="4"/>
        <v>56</v>
      </c>
    </row>
    <row r="44" spans="1:13">
      <c r="A44" s="6">
        <v>43</v>
      </c>
      <c r="B44" s="2" t="s">
        <v>31</v>
      </c>
      <c r="C44" s="4">
        <v>93</v>
      </c>
      <c r="D44" s="4">
        <v>91</v>
      </c>
      <c r="E44" s="5">
        <v>92</v>
      </c>
      <c r="F44" s="4">
        <v>94</v>
      </c>
      <c r="G44" s="4">
        <v>95</v>
      </c>
      <c r="H44" s="5">
        <v>98</v>
      </c>
      <c r="I44" s="5">
        <f t="shared" si="0"/>
        <v>465</v>
      </c>
      <c r="J44" s="5">
        <f t="shared" si="1"/>
        <v>93</v>
      </c>
      <c r="K44" s="5" t="str">
        <f t="shared" si="2"/>
        <v>Pass</v>
      </c>
      <c r="L44" s="5" t="str">
        <f t="shared" si="3"/>
        <v>A+</v>
      </c>
      <c r="M44" s="7">
        <f t="shared" si="4"/>
        <v>3</v>
      </c>
    </row>
    <row r="45" spans="1:13">
      <c r="A45" s="6">
        <v>44</v>
      </c>
      <c r="B45" s="2" t="s">
        <v>2</v>
      </c>
      <c r="C45" s="4">
        <v>57</v>
      </c>
      <c r="D45" s="4">
        <v>55</v>
      </c>
      <c r="E45" s="5">
        <v>58</v>
      </c>
      <c r="F45" s="4">
        <v>59</v>
      </c>
      <c r="G45" s="4">
        <v>56</v>
      </c>
      <c r="H45" s="5">
        <v>80</v>
      </c>
      <c r="I45" s="5">
        <f t="shared" si="0"/>
        <v>285</v>
      </c>
      <c r="J45" s="5">
        <f t="shared" si="1"/>
        <v>56.999999999999993</v>
      </c>
      <c r="K45" s="5" t="str">
        <f t="shared" si="2"/>
        <v>Pass</v>
      </c>
      <c r="L45" s="5" t="str">
        <f t="shared" si="3"/>
        <v>D</v>
      </c>
      <c r="M45" s="7">
        <f t="shared" si="4"/>
        <v>41</v>
      </c>
    </row>
    <row r="46" spans="1:13">
      <c r="A46" s="6">
        <v>45</v>
      </c>
      <c r="B46" s="2" t="s">
        <v>46</v>
      </c>
      <c r="C46" s="4">
        <v>82</v>
      </c>
      <c r="D46" s="4">
        <v>85</v>
      </c>
      <c r="E46" s="5">
        <v>83</v>
      </c>
      <c r="F46" s="4">
        <v>80</v>
      </c>
      <c r="G46" s="4">
        <v>81</v>
      </c>
      <c r="H46" s="5">
        <v>91</v>
      </c>
      <c r="I46" s="5">
        <f t="shared" si="0"/>
        <v>411</v>
      </c>
      <c r="J46" s="5">
        <f t="shared" si="1"/>
        <v>82.199999999999989</v>
      </c>
      <c r="K46" s="5" t="str">
        <f t="shared" si="2"/>
        <v>Pass</v>
      </c>
      <c r="L46" s="5" t="str">
        <f t="shared" si="3"/>
        <v>A</v>
      </c>
      <c r="M46" s="7">
        <f t="shared" si="4"/>
        <v>16</v>
      </c>
    </row>
    <row r="47" spans="1:13">
      <c r="A47" s="6">
        <v>46</v>
      </c>
      <c r="B47" s="2" t="s">
        <v>43</v>
      </c>
      <c r="C47" s="4">
        <v>46</v>
      </c>
      <c r="D47" s="4">
        <v>44</v>
      </c>
      <c r="E47" s="5">
        <v>45</v>
      </c>
      <c r="F47" s="4">
        <v>48</v>
      </c>
      <c r="G47" s="4">
        <v>47</v>
      </c>
      <c r="H47" s="5">
        <v>74</v>
      </c>
      <c r="I47" s="5">
        <f t="shared" si="0"/>
        <v>230</v>
      </c>
      <c r="J47" s="5">
        <f t="shared" si="1"/>
        <v>46</v>
      </c>
      <c r="K47" s="5" t="str">
        <f t="shared" si="2"/>
        <v>Pass</v>
      </c>
      <c r="L47" s="5" t="str">
        <f t="shared" si="3"/>
        <v>E</v>
      </c>
      <c r="M47" s="7">
        <f t="shared" si="4"/>
        <v>51</v>
      </c>
    </row>
    <row r="48" spans="1:13">
      <c r="A48" s="6">
        <v>47</v>
      </c>
      <c r="B48" s="2" t="s">
        <v>20</v>
      </c>
      <c r="C48" s="4">
        <v>68</v>
      </c>
      <c r="D48" s="4">
        <v>66</v>
      </c>
      <c r="E48" s="5">
        <v>67</v>
      </c>
      <c r="F48" s="4">
        <v>70</v>
      </c>
      <c r="G48" s="4">
        <v>69</v>
      </c>
      <c r="H48" s="5">
        <v>85</v>
      </c>
      <c r="I48" s="5">
        <f t="shared" si="0"/>
        <v>340</v>
      </c>
      <c r="J48" s="5">
        <f t="shared" si="1"/>
        <v>68</v>
      </c>
      <c r="K48" s="5" t="str">
        <f t="shared" si="2"/>
        <v>Pass</v>
      </c>
      <c r="L48" s="5" t="str">
        <f t="shared" si="3"/>
        <v>C</v>
      </c>
      <c r="M48" s="7">
        <f t="shared" si="4"/>
        <v>30</v>
      </c>
    </row>
    <row r="49" spans="1:13">
      <c r="A49" s="6">
        <v>48</v>
      </c>
      <c r="B49" s="2" t="s">
        <v>25</v>
      </c>
      <c r="C49" s="4">
        <v>51</v>
      </c>
      <c r="D49" s="4">
        <v>50</v>
      </c>
      <c r="E49" s="5">
        <v>52</v>
      </c>
      <c r="F49" s="4">
        <v>53</v>
      </c>
      <c r="G49" s="4">
        <v>54</v>
      </c>
      <c r="H49" s="5">
        <v>78</v>
      </c>
      <c r="I49" s="5">
        <f t="shared" si="0"/>
        <v>260</v>
      </c>
      <c r="J49" s="5">
        <f t="shared" si="1"/>
        <v>52</v>
      </c>
      <c r="K49" s="5" t="str">
        <f t="shared" si="2"/>
        <v>Pass</v>
      </c>
      <c r="L49" s="5" t="str">
        <f t="shared" si="3"/>
        <v>D</v>
      </c>
      <c r="M49" s="7">
        <f t="shared" si="4"/>
        <v>45</v>
      </c>
    </row>
    <row r="50" spans="1:13">
      <c r="A50" s="6">
        <v>49</v>
      </c>
      <c r="B50" s="2" t="s">
        <v>36</v>
      </c>
      <c r="C50" s="4">
        <v>86</v>
      </c>
      <c r="D50" s="4">
        <v>84</v>
      </c>
      <c r="E50" s="5">
        <v>85</v>
      </c>
      <c r="F50" s="4">
        <v>88</v>
      </c>
      <c r="G50" s="4">
        <v>87</v>
      </c>
      <c r="H50" s="5">
        <v>93</v>
      </c>
      <c r="I50" s="5">
        <f t="shared" si="0"/>
        <v>430</v>
      </c>
      <c r="J50" s="5">
        <f t="shared" si="1"/>
        <v>86</v>
      </c>
      <c r="K50" s="5" t="str">
        <f t="shared" si="2"/>
        <v>Pass</v>
      </c>
      <c r="L50" s="5" t="str">
        <f t="shared" si="3"/>
        <v>A</v>
      </c>
      <c r="M50" s="7">
        <f t="shared" si="4"/>
        <v>12</v>
      </c>
    </row>
    <row r="51" spans="1:13">
      <c r="A51" s="6">
        <v>50</v>
      </c>
      <c r="B51" s="2" t="s">
        <v>13</v>
      </c>
      <c r="C51" s="4">
        <v>59</v>
      </c>
      <c r="D51" s="4">
        <v>61</v>
      </c>
      <c r="E51" s="5">
        <v>60</v>
      </c>
      <c r="F51" s="4">
        <v>58</v>
      </c>
      <c r="G51" s="4">
        <v>62</v>
      </c>
      <c r="H51" s="5">
        <v>82</v>
      </c>
      <c r="I51" s="5">
        <f t="shared" si="0"/>
        <v>300</v>
      </c>
      <c r="J51" s="5">
        <f t="shared" si="1"/>
        <v>60</v>
      </c>
      <c r="K51" s="5" t="str">
        <f t="shared" si="2"/>
        <v>Pass</v>
      </c>
      <c r="L51" s="5" t="str">
        <f t="shared" si="3"/>
        <v>C</v>
      </c>
      <c r="M51" s="7">
        <f t="shared" si="4"/>
        <v>39</v>
      </c>
    </row>
    <row r="52" spans="1:13">
      <c r="A52" s="6">
        <v>51</v>
      </c>
      <c r="B52" s="2" t="s">
        <v>5</v>
      </c>
      <c r="C52" s="4">
        <v>74</v>
      </c>
      <c r="D52" s="4">
        <v>72</v>
      </c>
      <c r="E52" s="5">
        <v>73</v>
      </c>
      <c r="F52" s="4">
        <v>76</v>
      </c>
      <c r="G52" s="4">
        <v>75</v>
      </c>
      <c r="H52" s="5">
        <v>88</v>
      </c>
      <c r="I52" s="5">
        <f t="shared" si="0"/>
        <v>370</v>
      </c>
      <c r="J52" s="5">
        <f t="shared" si="1"/>
        <v>74</v>
      </c>
      <c r="K52" s="5" t="str">
        <f t="shared" si="2"/>
        <v>Pass</v>
      </c>
      <c r="L52" s="5" t="str">
        <f t="shared" si="3"/>
        <v>B</v>
      </c>
      <c r="M52" s="7">
        <f t="shared" si="4"/>
        <v>23</v>
      </c>
    </row>
    <row r="53" spans="1:13">
      <c r="A53" s="6">
        <v>52</v>
      </c>
      <c r="B53" s="2" t="s">
        <v>59</v>
      </c>
      <c r="C53" s="4">
        <v>43</v>
      </c>
      <c r="D53" s="4">
        <v>40</v>
      </c>
      <c r="E53" s="5">
        <v>44</v>
      </c>
      <c r="F53" s="4">
        <v>42</v>
      </c>
      <c r="G53" s="4">
        <v>41</v>
      </c>
      <c r="H53" s="5">
        <v>73</v>
      </c>
      <c r="I53" s="5">
        <f t="shared" si="0"/>
        <v>210</v>
      </c>
      <c r="J53" s="5">
        <f t="shared" si="1"/>
        <v>42</v>
      </c>
      <c r="K53" s="5" t="str">
        <f t="shared" si="2"/>
        <v>Pass</v>
      </c>
      <c r="L53" s="5" t="str">
        <f t="shared" si="3"/>
        <v>E</v>
      </c>
      <c r="M53" s="7">
        <f t="shared" si="4"/>
        <v>53</v>
      </c>
    </row>
    <row r="54" spans="1:13">
      <c r="A54" s="6">
        <v>53</v>
      </c>
      <c r="B54" s="2" t="s">
        <v>54</v>
      </c>
      <c r="C54" s="4">
        <v>91</v>
      </c>
      <c r="D54" s="4">
        <v>89</v>
      </c>
      <c r="E54" s="5">
        <v>90</v>
      </c>
      <c r="F54" s="4">
        <v>93</v>
      </c>
      <c r="G54" s="4">
        <v>92</v>
      </c>
      <c r="H54" s="5">
        <v>96</v>
      </c>
      <c r="I54" s="5">
        <f t="shared" si="0"/>
        <v>455</v>
      </c>
      <c r="J54" s="5">
        <f t="shared" si="1"/>
        <v>91</v>
      </c>
      <c r="K54" s="5" t="str">
        <f t="shared" si="2"/>
        <v>Pass</v>
      </c>
      <c r="L54" s="5" t="str">
        <f t="shared" si="3"/>
        <v>A+</v>
      </c>
      <c r="M54" s="7">
        <f t="shared" si="4"/>
        <v>5</v>
      </c>
    </row>
    <row r="55" spans="1:13">
      <c r="A55" s="6">
        <v>54</v>
      </c>
      <c r="B55" s="2" t="s">
        <v>49</v>
      </c>
      <c r="C55" s="4">
        <v>64</v>
      </c>
      <c r="D55" s="4">
        <v>66</v>
      </c>
      <c r="E55" s="5">
        <v>65</v>
      </c>
      <c r="F55" s="4">
        <v>63</v>
      </c>
      <c r="G55" s="4">
        <v>62</v>
      </c>
      <c r="H55" s="5">
        <v>84</v>
      </c>
      <c r="I55" s="5">
        <f t="shared" si="0"/>
        <v>320</v>
      </c>
      <c r="J55" s="5">
        <f t="shared" si="1"/>
        <v>64</v>
      </c>
      <c r="K55" s="5" t="str">
        <f t="shared" si="2"/>
        <v>Pass</v>
      </c>
      <c r="L55" s="5" t="str">
        <f t="shared" si="3"/>
        <v>C</v>
      </c>
      <c r="M55" s="7">
        <f t="shared" si="4"/>
        <v>33</v>
      </c>
    </row>
    <row r="56" spans="1:13">
      <c r="A56" s="6">
        <v>55</v>
      </c>
      <c r="B56" s="2" t="s">
        <v>27</v>
      </c>
      <c r="C56" s="4">
        <v>80</v>
      </c>
      <c r="D56" s="4">
        <v>78</v>
      </c>
      <c r="E56" s="5">
        <v>79</v>
      </c>
      <c r="F56" s="4">
        <v>82</v>
      </c>
      <c r="G56" s="4">
        <v>81</v>
      </c>
      <c r="H56" s="5">
        <v>90</v>
      </c>
      <c r="I56" s="5">
        <f t="shared" si="0"/>
        <v>400</v>
      </c>
      <c r="J56" s="5">
        <f t="shared" si="1"/>
        <v>80</v>
      </c>
      <c r="K56" s="5" t="str">
        <f t="shared" si="2"/>
        <v>Pass</v>
      </c>
      <c r="L56" s="5" t="str">
        <f t="shared" si="3"/>
        <v>A</v>
      </c>
      <c r="M56" s="7">
        <f t="shared" si="4"/>
        <v>17</v>
      </c>
    </row>
    <row r="57" spans="1:13">
      <c r="A57" s="6">
        <v>56</v>
      </c>
      <c r="B57" s="2" t="s">
        <v>55</v>
      </c>
      <c r="C57" s="4">
        <v>47</v>
      </c>
      <c r="D57" s="4">
        <v>49</v>
      </c>
      <c r="E57" s="5">
        <v>46</v>
      </c>
      <c r="F57" s="4">
        <v>45</v>
      </c>
      <c r="G57" s="4">
        <v>48</v>
      </c>
      <c r="H57" s="5">
        <v>75</v>
      </c>
      <c r="I57" s="5">
        <f t="shared" si="0"/>
        <v>235</v>
      </c>
      <c r="J57" s="5">
        <f t="shared" si="1"/>
        <v>47</v>
      </c>
      <c r="K57" s="5" t="str">
        <f t="shared" si="2"/>
        <v>Pass</v>
      </c>
      <c r="L57" s="5" t="str">
        <f t="shared" si="3"/>
        <v>E</v>
      </c>
      <c r="M57" s="7">
        <f t="shared" si="4"/>
        <v>49</v>
      </c>
    </row>
    <row r="58" spans="1:13">
      <c r="A58" s="6">
        <v>57</v>
      </c>
      <c r="B58" s="2" t="s">
        <v>32</v>
      </c>
      <c r="C58" s="4">
        <v>70</v>
      </c>
      <c r="D58" s="4">
        <v>68</v>
      </c>
      <c r="E58" s="5">
        <v>69</v>
      </c>
      <c r="F58" s="4">
        <v>72</v>
      </c>
      <c r="G58" s="4">
        <v>71</v>
      </c>
      <c r="H58" s="5">
        <v>86</v>
      </c>
      <c r="I58" s="5">
        <f t="shared" si="0"/>
        <v>350</v>
      </c>
      <c r="J58" s="5">
        <f t="shared" si="1"/>
        <v>70</v>
      </c>
      <c r="K58" s="5" t="str">
        <f t="shared" si="2"/>
        <v>Pass</v>
      </c>
      <c r="L58" s="5" t="str">
        <f t="shared" si="3"/>
        <v>B</v>
      </c>
      <c r="M58" s="7">
        <f t="shared" si="4"/>
        <v>27</v>
      </c>
    </row>
    <row r="59" spans="1:13">
      <c r="A59" s="6">
        <v>58</v>
      </c>
      <c r="B59" s="2" t="s">
        <v>50</v>
      </c>
      <c r="C59" s="4">
        <v>52</v>
      </c>
      <c r="D59" s="4">
        <v>54</v>
      </c>
      <c r="E59" s="5">
        <v>51</v>
      </c>
      <c r="F59" s="4">
        <v>50</v>
      </c>
      <c r="G59" s="4">
        <v>53</v>
      </c>
      <c r="H59" s="5">
        <v>79</v>
      </c>
      <c r="I59" s="5">
        <f t="shared" si="0"/>
        <v>260</v>
      </c>
      <c r="J59" s="5">
        <f t="shared" si="1"/>
        <v>52</v>
      </c>
      <c r="K59" s="5" t="str">
        <f t="shared" si="2"/>
        <v>Pass</v>
      </c>
      <c r="L59" s="5" t="str">
        <f t="shared" si="3"/>
        <v>D</v>
      </c>
      <c r="M59" s="7">
        <f t="shared" si="4"/>
        <v>45</v>
      </c>
    </row>
    <row r="60" spans="1:13">
      <c r="A60" s="6">
        <v>59</v>
      </c>
      <c r="B60" s="2" t="s">
        <v>12</v>
      </c>
      <c r="C60" s="4">
        <v>88</v>
      </c>
      <c r="D60" s="4">
        <v>90</v>
      </c>
      <c r="E60" s="5">
        <v>89</v>
      </c>
      <c r="F60" s="4">
        <v>87</v>
      </c>
      <c r="G60" s="4">
        <v>86</v>
      </c>
      <c r="H60" s="5">
        <v>94</v>
      </c>
      <c r="I60" s="5">
        <f t="shared" si="0"/>
        <v>440</v>
      </c>
      <c r="J60" s="5">
        <f t="shared" si="1"/>
        <v>88</v>
      </c>
      <c r="K60" s="5" t="str">
        <f t="shared" si="2"/>
        <v>Pass</v>
      </c>
      <c r="L60" s="5" t="str">
        <f t="shared" si="3"/>
        <v>A</v>
      </c>
      <c r="M60" s="7">
        <f t="shared" si="4"/>
        <v>8</v>
      </c>
    </row>
    <row r="61" spans="1:13">
      <c r="A61" s="11">
        <v>60</v>
      </c>
      <c r="B61" s="12" t="s">
        <v>42</v>
      </c>
      <c r="C61" s="13">
        <v>61</v>
      </c>
      <c r="D61" s="13">
        <v>63</v>
      </c>
      <c r="E61" s="14">
        <v>62</v>
      </c>
      <c r="F61" s="13">
        <v>59</v>
      </c>
      <c r="G61" s="13">
        <v>60</v>
      </c>
      <c r="H61" s="14">
        <v>83</v>
      </c>
      <c r="I61" s="14">
        <f t="shared" si="0"/>
        <v>305</v>
      </c>
      <c r="J61" s="14">
        <f t="shared" si="1"/>
        <v>61</v>
      </c>
      <c r="K61" s="14" t="str">
        <f t="shared" si="2"/>
        <v>Pass</v>
      </c>
      <c r="L61" s="14" t="str">
        <f t="shared" si="3"/>
        <v>C</v>
      </c>
      <c r="M61" s="15">
        <f t="shared" si="4"/>
        <v>38</v>
      </c>
    </row>
    <row r="62" spans="1:13">
      <c r="C62" s="3"/>
      <c r="D62" s="3"/>
      <c r="F62" s="3"/>
      <c r="G62" s="3"/>
    </row>
    <row r="63" spans="1:13">
      <c r="C63" s="3"/>
      <c r="D63" s="3"/>
      <c r="F63" s="3"/>
      <c r="G63" s="3"/>
    </row>
  </sheetData>
  <sortState xmlns:xlrd2="http://schemas.microsoft.com/office/spreadsheetml/2017/richdata2" ref="A2:G61">
    <sortCondition ref="B1:B61"/>
  </sortState>
  <conditionalFormatting sqref="A1:M61">
    <cfRule type="expression" dxfId="2" priority="2">
      <formula>"RANK.EQ($J2,$J$2:$J$61)&lt;=10"</formula>
    </cfRule>
    <cfRule type="expression" priority="3">
      <formula>_xlfn.RANK.EQ($I2,$I$2:$I$61)&lt;=10</formula>
    </cfRule>
    <cfRule type="expression" priority="4">
      <formula>_xlfn.RANK.EQ($H2,$H$2:$H$61)&lt;=10</formula>
    </cfRule>
    <cfRule type="expression" priority="5">
      <formula>"A2 : M61"</formula>
    </cfRule>
  </conditionalFormatting>
  <conditionalFormatting sqref="A2:M61">
    <cfRule type="expression" dxfId="1" priority="1">
      <formula>_xlfn.RANK.EQ($J2,$J$2:$J$61)&lt;=10</formula>
    </cfRule>
  </conditionalFormatting>
  <conditionalFormatting sqref="I1:I1048576">
    <cfRule type="top10" dxfId="0" priority="6" rank="10"/>
  </conditionalFormatting>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2DB2-E8B7-4B69-979B-56DD76AB4162}">
  <dimension ref="A1:P20"/>
  <sheetViews>
    <sheetView showGridLines="0" tabSelected="1" zoomScale="88" zoomScaleNormal="88" workbookViewId="0">
      <selection activeCell="S23" sqref="S23"/>
    </sheetView>
  </sheetViews>
  <sheetFormatPr defaultRowHeight="14.5"/>
  <cols>
    <col min="1" max="1" width="15.36328125" bestFit="1" customWidth="1"/>
    <col min="2" max="2" width="13.54296875" bestFit="1" customWidth="1"/>
    <col min="3" max="3" width="17.6328125" bestFit="1" customWidth="1"/>
    <col min="4" max="4" width="16.453125" bestFit="1" customWidth="1"/>
    <col min="9" max="9" width="8.7265625" customWidth="1"/>
  </cols>
  <sheetData>
    <row r="1" spans="1:16">
      <c r="A1" s="29" t="s">
        <v>86</v>
      </c>
      <c r="B1" s="30"/>
      <c r="C1" s="30"/>
      <c r="D1" s="30"/>
      <c r="E1" s="30"/>
      <c r="F1" s="30"/>
      <c r="G1" s="30"/>
      <c r="H1" s="30"/>
      <c r="I1" s="30"/>
      <c r="J1" s="30"/>
      <c r="K1" s="30"/>
      <c r="L1" s="30"/>
      <c r="M1" s="30"/>
      <c r="N1" s="30"/>
      <c r="O1" s="30"/>
      <c r="P1" s="30"/>
    </row>
    <row r="2" spans="1:16">
      <c r="A2" s="30"/>
      <c r="B2" s="30"/>
      <c r="C2" s="30"/>
      <c r="D2" s="30"/>
      <c r="E2" s="30"/>
      <c r="F2" s="30"/>
      <c r="G2" s="30"/>
      <c r="H2" s="30"/>
      <c r="I2" s="30"/>
      <c r="J2" s="30"/>
      <c r="K2" s="30"/>
      <c r="L2" s="30"/>
      <c r="M2" s="30"/>
      <c r="N2" s="30"/>
      <c r="O2" s="30"/>
      <c r="P2" s="30"/>
    </row>
    <row r="4" spans="1:16" ht="14.5" customHeight="1">
      <c r="C4" s="28"/>
      <c r="D4" s="28"/>
      <c r="E4" s="28"/>
      <c r="F4" s="28"/>
      <c r="G4" s="28"/>
      <c r="H4" s="28"/>
      <c r="I4" s="28"/>
      <c r="J4" s="28"/>
      <c r="K4" s="28"/>
      <c r="L4" s="28"/>
      <c r="M4" s="28"/>
    </row>
    <row r="6" spans="1:16">
      <c r="A6" s="25" t="s">
        <v>68</v>
      </c>
      <c r="B6" s="26" t="s">
        <v>84</v>
      </c>
      <c r="C6" s="26" t="s">
        <v>85</v>
      </c>
    </row>
    <row r="7" spans="1:16">
      <c r="A7" s="26" t="s">
        <v>74</v>
      </c>
      <c r="B7" s="26">
        <v>11</v>
      </c>
      <c r="C7" s="27">
        <v>85.436363636363637</v>
      </c>
    </row>
    <row r="8" spans="1:16">
      <c r="A8" s="26" t="s">
        <v>77</v>
      </c>
      <c r="B8" s="26">
        <v>6</v>
      </c>
      <c r="C8" s="27">
        <v>92.433333333333337</v>
      </c>
    </row>
    <row r="9" spans="1:16">
      <c r="A9" s="26" t="s">
        <v>72</v>
      </c>
      <c r="B9" s="26">
        <v>11</v>
      </c>
      <c r="C9" s="27">
        <v>74.127272727272739</v>
      </c>
    </row>
    <row r="10" spans="1:16">
      <c r="A10" s="26" t="s">
        <v>73</v>
      </c>
      <c r="B10" s="26">
        <v>11</v>
      </c>
      <c r="C10" s="27">
        <v>63.81818181818182</v>
      </c>
    </row>
    <row r="11" spans="1:16">
      <c r="A11" s="26" t="s">
        <v>76</v>
      </c>
      <c r="B11" s="26">
        <v>8</v>
      </c>
      <c r="C11" s="27">
        <v>53.925000000000004</v>
      </c>
    </row>
    <row r="12" spans="1:16">
      <c r="A12" s="26" t="s">
        <v>75</v>
      </c>
      <c r="B12" s="26">
        <v>8</v>
      </c>
      <c r="C12" s="27">
        <v>44.575000000000003</v>
      </c>
    </row>
    <row r="13" spans="1:16">
      <c r="A13" s="26" t="s">
        <v>78</v>
      </c>
      <c r="B13" s="26">
        <v>5</v>
      </c>
      <c r="C13" s="27">
        <v>35.44</v>
      </c>
    </row>
    <row r="14" spans="1:16">
      <c r="A14" s="26" t="s">
        <v>71</v>
      </c>
      <c r="B14" s="26">
        <v>60</v>
      </c>
      <c r="C14" s="27">
        <v>66.283333333333346</v>
      </c>
    </row>
    <row r="17" spans="1:2">
      <c r="A17" s="25" t="s">
        <v>83</v>
      </c>
      <c r="B17" s="26" t="s">
        <v>84</v>
      </c>
    </row>
    <row r="18" spans="1:2">
      <c r="A18" s="26" t="s">
        <v>81</v>
      </c>
      <c r="B18" s="26">
        <v>6</v>
      </c>
    </row>
    <row r="19" spans="1:2">
      <c r="A19" s="26" t="s">
        <v>82</v>
      </c>
      <c r="B19" s="26">
        <v>54</v>
      </c>
    </row>
    <row r="20" spans="1:2">
      <c r="A20" s="26" t="s">
        <v>71</v>
      </c>
      <c r="B20" s="26">
        <v>60</v>
      </c>
    </row>
  </sheetData>
  <mergeCells count="1">
    <mergeCell ref="A1:P2"/>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dc:creator>
  <cp:lastModifiedBy>Anjali ~</cp:lastModifiedBy>
  <dcterms:created xsi:type="dcterms:W3CDTF">2026-02-17T07:23:18Z</dcterms:created>
  <dcterms:modified xsi:type="dcterms:W3CDTF">2026-02-19T09:32:30Z</dcterms:modified>
</cp:coreProperties>
</file>