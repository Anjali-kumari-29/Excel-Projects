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singh\Documents\Data Anlytics Portfolio\Excel Projects\03.Sales Performance Dashboard\"/>
    </mc:Choice>
  </mc:AlternateContent>
  <xr:revisionPtr revIDLastSave="0" documentId="13_ncr:1_{6416CB1F-102F-46CB-895A-7B03AFEC330F}" xr6:coauthVersionLast="47" xr6:coauthVersionMax="47" xr10:uidLastSave="{00000000-0000-0000-0000-000000000000}"/>
  <bookViews>
    <workbookView xWindow="-110" yWindow="-110" windowWidth="19420" windowHeight="11500" activeTab="2" xr2:uid="{FD0717CF-AF8C-464C-AA43-65D9BD25C8BD}"/>
  </bookViews>
  <sheets>
    <sheet name="Data" sheetId="1" r:id="rId1"/>
    <sheet name="Pivot chart" sheetId="8" r:id="rId2"/>
    <sheet name="Sales Dashboard" sheetId="7" r:id="rId3"/>
  </sheets>
  <definedNames>
    <definedName name="_xlnm._FilterDatabase" localSheetId="0" hidden="1">Data!$A$1:$L$101</definedName>
    <definedName name="Slicer_Month">#N/A</definedName>
    <definedName name="Slicer_Product_Category">#N/A</definedName>
    <definedName name="Slicer_Region">#N/A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1" i="1" l="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E6" i="7"/>
  <c r="H6" i="7"/>
  <c r="B6" i="7"/>
  <c r="I101" i="1" l="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K6" i="7" l="1"/>
</calcChain>
</file>

<file path=xl/sharedStrings.xml><?xml version="1.0" encoding="utf-8"?>
<sst xmlns="http://schemas.openxmlformats.org/spreadsheetml/2006/main" count="665" uniqueCount="168">
  <si>
    <t>Order ID</t>
  </si>
  <si>
    <t>Date</t>
  </si>
  <si>
    <t>Region</t>
  </si>
  <si>
    <t>Product_Category</t>
  </si>
  <si>
    <t>Laptop</t>
  </si>
  <si>
    <t>Mobile</t>
  </si>
  <si>
    <t>Headphones</t>
  </si>
  <si>
    <t>Keyboard</t>
  </si>
  <si>
    <t>Mouse</t>
  </si>
  <si>
    <t>Tablet</t>
  </si>
  <si>
    <t>Smartwatch</t>
  </si>
  <si>
    <t>Printer</t>
  </si>
  <si>
    <t>Monitor</t>
  </si>
  <si>
    <t>Speaker</t>
  </si>
  <si>
    <t>North</t>
  </si>
  <si>
    <t>South</t>
  </si>
  <si>
    <t>East</t>
  </si>
  <si>
    <t>West</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</si>
  <si>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</si>
  <si>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</si>
  <si>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</si>
  <si>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</si>
  <si>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</si>
  <si>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</si>
  <si>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</si>
  <si>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</si>
  <si>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</si>
  <si>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</si>
  <si>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</si>
  <si>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</si>
  <si>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</si>
  <si>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</si>
  <si>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</si>
  <si>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</si>
  <si>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</si>
  <si>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</si>
  <si>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</si>
  <si>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</si>
  <si>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</si>
  <si>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</si>
  <si>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</si>
  <si>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</si>
  <si>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</si>
  <si>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</si>
  <si>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</si>
  <si>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</si>
  <si>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</si>
  <si>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</si>
  <si>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</si>
  <si>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</si>
  <si>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</si>
  <si>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</si>
  <si>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</si>
  <si>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</si>
  <si>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</si>
  <si>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</si>
  <si>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</si>
  <si>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</si>
  <si>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</si>
  <si>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</si>
  <si>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</si>
  <si>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</si>
  <si>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</si>
  <si>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</si>
  <si>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</si>
  <si>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</si>
  <si>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</si>
  <si>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</si>
  <si>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</si>
  <si>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</si>
  <si>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</si>
  <si>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</si>
  <si>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</si>
  <si>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</si>
  <si>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</si>
  <si>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</si>
  <si>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</si>
  <si>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</si>
  <si>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</si>
  <si>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</si>
  <si>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</si>
  <si>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</si>
  <si>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</si>
  <si>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</si>
  <si>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</si>
  <si>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</si>
  <si>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</si>
  <si>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</si>
  <si>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</si>
  <si>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</si>
  <si>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</si>
  <si>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</si>
  <si>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</si>
  <si>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</si>
  <si>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</si>
  <si>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</si>
  <si>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</si>
  <si>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</si>
  <si>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</si>
  <si>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</si>
  <si>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</si>
  <si>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</si>
  <si>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</si>
  <si>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</si>
  <si>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</si>
  <si>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</si>
  <si>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</si>
  <si>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</si>
  <si>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</si>
  <si>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</si>
  <si>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</si>
  <si>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</si>
  <si>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</si>
  <si>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</si>
  <si>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</si>
  <si>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</si>
  <si>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</si>
  <si>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</si>
  <si>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Aman Sharma</t>
  </si>
  <si>
    <t>Priya Verma</t>
  </si>
  <si>
    <t>Rahul Singh</t>
  </si>
  <si>
    <t>Neha Gupta</t>
  </si>
  <si>
    <t>Rohit Kumar</t>
  </si>
  <si>
    <t>Sneha Patel</t>
  </si>
  <si>
    <t>Arjun Mehta</t>
  </si>
  <si>
    <t>Pooja Yadav</t>
  </si>
  <si>
    <t>Vikas Jain</t>
  </si>
  <si>
    <t>Kavya Mishra</t>
  </si>
  <si>
    <t>Sales_Person</t>
  </si>
  <si>
    <t>Price/Unit</t>
  </si>
  <si>
    <t>Unit_Sold</t>
  </si>
  <si>
    <t>Profit %</t>
  </si>
  <si>
    <t>Sales_Category</t>
  </si>
  <si>
    <t>Total Sales</t>
  </si>
  <si>
    <t>Month</t>
  </si>
  <si>
    <t>Oct</t>
  </si>
  <si>
    <t>Nov</t>
  </si>
  <si>
    <t>Dec</t>
  </si>
  <si>
    <t xml:space="preserve">Profit </t>
  </si>
  <si>
    <t>Online</t>
  </si>
  <si>
    <t>Offline (Retail Store)</t>
  </si>
  <si>
    <t>Wholesale</t>
  </si>
  <si>
    <t>Direct Sales</t>
  </si>
  <si>
    <t>Distributor</t>
  </si>
  <si>
    <t>Reseller</t>
  </si>
  <si>
    <t>B2B (Business to Business)</t>
  </si>
  <si>
    <t>B2C (Business to Customer)</t>
  </si>
  <si>
    <t>Subscription</t>
  </si>
  <si>
    <t>Promotional / Discount Sale</t>
  </si>
  <si>
    <t>Sum of Total Sales</t>
  </si>
  <si>
    <t xml:space="preserve">Sum of Profit </t>
  </si>
  <si>
    <t>Interactive Sales Performance Dashboard</t>
  </si>
  <si>
    <t>Grand Total</t>
  </si>
  <si>
    <t>Sep</t>
  </si>
  <si>
    <t>Total Sales Value</t>
  </si>
  <si>
    <t>Months</t>
  </si>
  <si>
    <t>Product Category</t>
  </si>
  <si>
    <t>Salesperson</t>
  </si>
  <si>
    <t>Monthly Sales</t>
  </si>
  <si>
    <t>Sales by Product Category</t>
  </si>
  <si>
    <t>Sales by Region</t>
  </si>
  <si>
    <t>Salesperson Performance</t>
  </si>
  <si>
    <t xml:space="preserve">Summary </t>
  </si>
  <si>
    <t xml:space="preserve">Total Sales </t>
  </si>
  <si>
    <t>Sum of Unit_Sold</t>
  </si>
  <si>
    <t xml:space="preserve">Profit % </t>
  </si>
  <si>
    <t xml:space="preserve">Units Sold </t>
  </si>
  <si>
    <t xml:space="preserve">Total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</si>
</sst>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09]\ #,##0.00"/>
  </numFmts>
  <fonts count="10" x14ac:knownFonts="1">
    <font>
      <sz val="11"/>
      <color theme="1"/>
      <name val="Aptos Narrow"/>
      <family val="2"/>
      <scheme val="minor"/>
    </font>
    <font>
      <sz val="8"/>
      <name val="Aptos Narrow"/>
      <family val="2"/>
      <scheme val="minor"/>
    </font>
    <font>
      <sz val="10"/>
      <color theme="1"/>
      <name val="Calibri"/>
      <family val="2"/>
    </font>
    <font>
      <b/>
      <sz val="12"/>
      <color theme="1"/>
      <name val="Calibri"/>
      <family val="2"/>
    </font>
    <font>
      <b/>
      <u/>
      <sz val="12"/>
      <color theme="1"/>
      <name val="Calibri"/>
      <family val="2"/>
    </font>
    <font>
      <b/>
      <sz val="11"/>
      <color theme="1"/>
      <name val="Aptos Narrow"/>
      <family val="2"/>
      <scheme val="minor"/>
    </font>
    <font>
      <b/>
      <sz val="20"/>
      <color theme="1"/>
      <name val="Amasis MT Pro Black"/>
      <family val="1"/>
    </font>
    <font>
      <sz val="12"/>
      <color theme="1"/>
      <name val="Calibri"/>
      <family val="2"/>
    </font>
    <font>
      <b/>
      <sz val="18"/>
      <color theme="1"/>
      <name val="Calibri"/>
      <family val="2"/>
    </font>
    <font>
      <b/>
      <sz val="26"/>
      <color theme="0"/>
      <name val="Amasis MT Pro Black"/>
      <family val="1"/>
    </font>
  </fonts>
  <fills count="5">
    <fill>
      <patternFill patternType="none"/>
    </fill>
    <fill>
      <patternFill patternType="gray125"/>
    </fill>
    <fill>
      <patternFill patternType="solid">
        <fgColor theme="7" tint="0.79998168889431442"/>
        <bgColor indexed="64"/>
      </patternFill>
    </fill>
    <fill>
      <patternFill patternType="solid">
        <fgColor theme="3" tint="0.249977111117893"/>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3">
    <xf numFmtId="0" fontId="0" fillId="0" borderId="0" xfId="0"/>
    <xf numFmtId="0" fontId="0" fillId="0" borderId="0" xfId="0" applyAlignment="1">
      <alignment horizontal="center" vertical="center"/>
    </xf>
    <xf numFmtId="0" fontId="2" fillId="0" borderId="1" xfId="0" applyFont="1" applyBorder="1" applyAlignment="1">
      <alignment horizontal="center"/>
    </xf>
    <xf numFmtId="14" fontId="2" fillId="0" borderId="1" xfId="0" applyNumberFormat="1"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4" fillId="0" borderId="5" xfId="0" applyFont="1" applyBorder="1" applyAlignment="1">
      <alignment horizontal="center" vertical="center"/>
    </xf>
    <xf numFmtId="0" fontId="3" fillId="0" borderId="6" xfId="0" applyFont="1" applyBorder="1" applyAlignment="1">
      <alignment horizontal="center" vertical="center"/>
    </xf>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0" borderId="1" xfId="0" applyBorder="1"/>
    <xf numFmtId="0" fontId="6" fillId="0" borderId="0" xfId="0" applyFont="1" applyAlignment="1">
      <alignment horizontal="center"/>
    </xf>
    <xf numFmtId="0" fontId="0" fillId="0" borderId="1" xfId="0" pivotButton="1" applyBorder="1"/>
    <xf numFmtId="0" fontId="0" fillId="0" borderId="1" xfId="0" applyBorder="1" applyAlignment="1">
      <alignment horizontal="left"/>
    </xf>
    <xf numFmtId="0" fontId="0" fillId="0" borderId="1" xfId="0" pivotButton="1" applyBorder="1" applyAlignment="1">
      <alignment horizontal="center"/>
    </xf>
    <xf numFmtId="0" fontId="0" fillId="0" borderId="1" xfId="0" applyBorder="1" applyAlignment="1">
      <alignment horizontal="center"/>
    </xf>
    <xf numFmtId="9" fontId="2" fillId="0" borderId="1" xfId="0" applyNumberFormat="1" applyFont="1" applyBorder="1" applyAlignment="1">
      <alignment horizontal="center"/>
    </xf>
    <xf numFmtId="0" fontId="3" fillId="2" borderId="1" xfId="0" applyFont="1" applyFill="1" applyBorder="1" applyAlignment="1">
      <alignment horizontal="center"/>
    </xf>
    <xf numFmtId="0" fontId="7" fillId="2" borderId="1" xfId="0" applyFont="1" applyFill="1" applyBorder="1" applyAlignment="1">
      <alignment horizontal="center"/>
    </xf>
    <xf numFmtId="0" fontId="5" fillId="2" borderId="1" xfId="0" applyFont="1" applyFill="1" applyBorder="1" applyAlignment="1">
      <alignment horizontal="center"/>
    </xf>
    <xf numFmtId="0" fontId="6" fillId="0" borderId="0" xfId="0" applyFont="1" applyAlignment="1">
      <alignment horizontal="center"/>
    </xf>
    <xf numFmtId="0" fontId="0" fillId="0" borderId="0" xfId="0" applyNumberFormat="1"/>
    <xf numFmtId="0" fontId="0" fillId="0" borderId="1" xfId="0" applyNumberFormat="1" applyBorder="1"/>
    <xf numFmtId="0" fontId="0" fillId="0" borderId="1" xfId="0" applyNumberFormat="1" applyBorder="1" applyAlignment="1">
      <alignment horizontal="center"/>
    </xf>
    <xf numFmtId="0" fontId="8" fillId="4" borderId="10" xfId="0" applyFont="1" applyFill="1" applyBorder="1" applyAlignment="1">
      <alignment horizontal="center" vertical="center"/>
    </xf>
    <xf numFmtId="0" fontId="8" fillId="4" borderId="11" xfId="0" applyFont="1" applyFill="1" applyBorder="1" applyAlignment="1">
      <alignment horizontal="center" vertical="center"/>
    </xf>
    <xf numFmtId="164" fontId="8" fillId="4" borderId="12" xfId="0" applyNumberFormat="1" applyFont="1" applyFill="1" applyBorder="1" applyAlignment="1">
      <alignment horizontal="center"/>
    </xf>
    <xf numFmtId="4" fontId="8" fillId="4" borderId="12" xfId="0" applyNumberFormat="1" applyFont="1" applyFill="1" applyBorder="1" applyAlignment="1">
      <alignment horizontal="center"/>
    </xf>
    <xf numFmtId="10" fontId="8" fillId="4" borderId="12" xfId="0" applyNumberFormat="1" applyFont="1" applyFill="1" applyBorder="1" applyAlignment="1">
      <alignment horizontal="center"/>
    </xf>
    <xf numFmtId="0" fontId="9" fillId="3" borderId="0" xfId="0" applyFont="1" applyFill="1" applyAlignment="1">
      <alignment horizontal="center" vertical="center"/>
    </xf>
  </cellXfs>
  <cellStyles count="1">
    <cellStyle name="Normal" xfId="0" builtinId="0"/>
  </cellStyles>
  <dxfs count="31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3"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chart!PivotTable6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Monthly Sales Trend</a:t>
            </a:r>
          </a:p>
        </c:rich>
      </c:tx>
      <c:layout>
        <c:manualLayout>
          <c:xMode val="edge"/>
          <c:yMode val="edge"/>
          <c:x val="0.31727777777777777"/>
          <c:y val="0.11934966462525518"/>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46981627296588"/>
          <c:y val="0.27458114610673667"/>
          <c:w val="0.69896019247594054"/>
          <c:h val="0.52681794983960339"/>
        </c:manualLayout>
      </c:layout>
      <c:lineChart>
        <c:grouping val="standard"/>
        <c:varyColors val="0"/>
        <c:ser>
          <c:idx val="0"/>
          <c:order val="0"/>
          <c:tx>
            <c:strRef>
              <c:f>'Pivot chart'!$B$7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chart'!$A$8:$A$12</c:f>
              <c:strCache>
                <c:ptCount val="4"/>
                <c:pt idx="0">
                  <c:v>Sep</c:v>
                </c:pt>
                <c:pt idx="1">
                  <c:v>Oct</c:v>
                </c:pt>
                <c:pt idx="2">
                  <c:v>Nov</c:v>
                </c:pt>
                <c:pt idx="3">
                  <c:v>Dec</c:v>
                </c:pt>
              </c:strCache>
            </c:strRef>
          </c:cat>
          <c:val>
            <c:numRef>
              <c:f>'Pivot chart'!$B$8:$B$12</c:f>
              <c:numCache>
                <c:formatCode>General</c:formatCode>
                <c:ptCount val="4"/>
                <c:pt idx="0">
                  <c:v>142320</c:v>
                </c:pt>
                <c:pt idx="1">
                  <c:v>161335</c:v>
                </c:pt>
                <c:pt idx="2">
                  <c:v>154735</c:v>
                </c:pt>
                <c:pt idx="3">
                  <c:v>53675</c:v>
                </c:pt>
              </c:numCache>
            </c:numRef>
          </c:val>
          <c:smooth val="0"/>
          <c:extLst>
            <c:ext xmlns:c16="http://schemas.microsoft.com/office/drawing/2014/chart" uri="{C3380CC4-5D6E-409C-BE32-E72D297353CC}">
              <c16:uniqueId val="{00000000-33F4-4596-AD7F-092E0BD79989}"/>
            </c:ext>
          </c:extLst>
        </c:ser>
        <c:dLbls>
          <c:showLegendKey val="0"/>
          <c:showVal val="0"/>
          <c:showCatName val="0"/>
          <c:showSerName val="0"/>
          <c:showPercent val="0"/>
          <c:showBubbleSize val="0"/>
        </c:dLbls>
        <c:marker val="1"/>
        <c:smooth val="0"/>
        <c:axId val="1891633264"/>
        <c:axId val="1891643824"/>
      </c:lineChart>
      <c:catAx>
        <c:axId val="189163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43824"/>
        <c:crosses val="autoZero"/>
        <c:auto val="1"/>
        <c:lblAlgn val="ctr"/>
        <c:lblOffset val="100"/>
        <c:noMultiLvlLbl val="0"/>
      </c:catAx>
      <c:valAx>
        <c:axId val="189164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33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Sales by</a:t>
            </a:r>
            <a:r>
              <a:rPr lang="en-US"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Product Category</a:t>
            </a:r>
            <a:endParaRPr lang="en-US"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chart'!$E$7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chart'!$D$8:$D$18</c:f>
              <c:strCache>
                <c:ptCount val="10"/>
                <c:pt idx="0">
                  <c:v>Smartwatch</c:v>
                </c:pt>
                <c:pt idx="1">
                  <c:v>Headphones</c:v>
                </c:pt>
                <c:pt idx="2">
                  <c:v>Printer</c:v>
                </c:pt>
                <c:pt idx="3">
                  <c:v>Mobile</c:v>
                </c:pt>
                <c:pt idx="4">
                  <c:v>Monitor</c:v>
                </c:pt>
                <c:pt idx="5">
                  <c:v>Keyboard</c:v>
                </c:pt>
                <c:pt idx="6">
                  <c:v>Tablet</c:v>
                </c:pt>
                <c:pt idx="7">
                  <c:v>Speaker</c:v>
                </c:pt>
                <c:pt idx="8">
                  <c:v>Mouse</c:v>
                </c:pt>
                <c:pt idx="9">
                  <c:v>Laptop</c:v>
                </c:pt>
              </c:strCache>
            </c:strRef>
          </c:cat>
          <c:val>
            <c:numRef>
              <c:f>'Pivot chart'!$E$8:$E$18</c:f>
              <c:numCache>
                <c:formatCode>General</c:formatCode>
                <c:ptCount val="10"/>
                <c:pt idx="0">
                  <c:v>66760</c:v>
                </c:pt>
                <c:pt idx="1">
                  <c:v>64460</c:v>
                </c:pt>
                <c:pt idx="2">
                  <c:v>56500</c:v>
                </c:pt>
                <c:pt idx="3">
                  <c:v>53825</c:v>
                </c:pt>
                <c:pt idx="4">
                  <c:v>48765</c:v>
                </c:pt>
                <c:pt idx="5">
                  <c:v>48505</c:v>
                </c:pt>
                <c:pt idx="6">
                  <c:v>47835</c:v>
                </c:pt>
                <c:pt idx="7">
                  <c:v>42890</c:v>
                </c:pt>
                <c:pt idx="8">
                  <c:v>42875</c:v>
                </c:pt>
                <c:pt idx="9">
                  <c:v>39650</c:v>
                </c:pt>
              </c:numCache>
            </c:numRef>
          </c:val>
          <c:extLst>
            <c:ext xmlns:c16="http://schemas.microsoft.com/office/drawing/2014/chart" uri="{C3380CC4-5D6E-409C-BE32-E72D297353CC}">
              <c16:uniqueId val="{00000000-EB64-4ED1-BB07-7578B6F6E169}"/>
            </c:ext>
          </c:extLst>
        </c:ser>
        <c:dLbls>
          <c:showLegendKey val="0"/>
          <c:showVal val="0"/>
          <c:showCatName val="0"/>
          <c:showSerName val="0"/>
          <c:showPercent val="0"/>
          <c:showBubbleSize val="0"/>
        </c:dLbls>
        <c:gapWidth val="219"/>
        <c:axId val="1891657264"/>
        <c:axId val="1891641424"/>
      </c:barChart>
      <c:catAx>
        <c:axId val="189165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41424"/>
        <c:crosses val="autoZero"/>
        <c:auto val="1"/>
        <c:lblAlgn val="ctr"/>
        <c:lblOffset val="100"/>
        <c:noMultiLvlLbl val="0"/>
      </c:catAx>
      <c:valAx>
        <c:axId val="189164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5726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chart!PivotTable8</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chart'!$G$8:$G$12</c:f>
              <c:strCache>
                <c:ptCount val="4"/>
                <c:pt idx="0">
                  <c:v>North</c:v>
                </c:pt>
                <c:pt idx="1">
                  <c:v>South</c:v>
                </c:pt>
                <c:pt idx="2">
                  <c:v>East</c:v>
                </c:pt>
                <c:pt idx="3">
                  <c:v>West</c:v>
                </c:pt>
              </c:strCache>
            </c:strRef>
          </c:cat>
          <c:val>
            <c:numRef>
              <c:f>'Pivot chart'!$H$8:$H$12</c:f>
              <c:numCache>
                <c:formatCode>General</c:formatCode>
                <c:ptCount val="4"/>
                <c:pt idx="0">
                  <c:v>136630</c:v>
                </c:pt>
                <c:pt idx="1">
                  <c:v>131065</c:v>
                </c:pt>
                <c:pt idx="2">
                  <c:v>125880</c:v>
                </c:pt>
                <c:pt idx="3">
                  <c:v>118490</c:v>
                </c:pt>
              </c:numCache>
            </c:numRef>
          </c:val>
          <c:extLst>
            <c:ext xmlns:c16="http://schemas.microsoft.com/office/drawing/2014/chart" uri="{C3380CC4-5D6E-409C-BE32-E72D297353CC}">
              <c16:uniqueId val="{00000000-7550-4441-BD8C-588DD5A60EFC}"/>
            </c:ext>
          </c:extLst>
        </c:ser>
        <c:dLbls>
          <c:showLegendKey val="0"/>
          <c:showVal val="0"/>
          <c:showCatName val="0"/>
          <c:showSerName val="0"/>
          <c:showPercent val="0"/>
          <c:showBubbleSize val="0"/>
        </c:dLbls>
        <c:gapWidth val="219"/>
        <c:axId val="1891677424"/>
        <c:axId val="1891675024"/>
      </c:barChart>
      <c:catAx>
        <c:axId val="189167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75024"/>
        <c:crosses val="autoZero"/>
        <c:auto val="1"/>
        <c:lblAlgn val="ctr"/>
        <c:lblOffset val="100"/>
        <c:noMultiLvlLbl val="0"/>
      </c:catAx>
      <c:valAx>
        <c:axId val="1891675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7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chart!PivotTable9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Salesperson</a:t>
            </a:r>
            <a:r>
              <a:rPr lang="en-US"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chart'!$K$7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chart'!$J$8:$J$18</c:f>
              <c:strCache>
                <c:ptCount val="10"/>
                <c:pt idx="0">
                  <c:v>Arjun Mehta</c:v>
                </c:pt>
                <c:pt idx="1">
                  <c:v>Rahul Singh</c:v>
                </c:pt>
                <c:pt idx="2">
                  <c:v>Pooja Yadav</c:v>
                </c:pt>
                <c:pt idx="3">
                  <c:v>Priya Verma</c:v>
                </c:pt>
                <c:pt idx="4">
                  <c:v>Vikas Jain</c:v>
                </c:pt>
                <c:pt idx="5">
                  <c:v>Neha Gupta</c:v>
                </c:pt>
                <c:pt idx="6">
                  <c:v>Sneha Patel</c:v>
                </c:pt>
                <c:pt idx="7">
                  <c:v>Kavya Mishra</c:v>
                </c:pt>
                <c:pt idx="8">
                  <c:v>Rohit Kumar</c:v>
                </c:pt>
                <c:pt idx="9">
                  <c:v>Aman Sharma</c:v>
                </c:pt>
              </c:strCache>
            </c:strRef>
          </c:cat>
          <c:val>
            <c:numRef>
              <c:f>'Pivot chart'!$K$8:$K$18</c:f>
              <c:numCache>
                <c:formatCode>General</c:formatCode>
                <c:ptCount val="10"/>
                <c:pt idx="0">
                  <c:v>66760</c:v>
                </c:pt>
                <c:pt idx="1">
                  <c:v>64460</c:v>
                </c:pt>
                <c:pt idx="2">
                  <c:v>56500</c:v>
                </c:pt>
                <c:pt idx="3">
                  <c:v>53825</c:v>
                </c:pt>
                <c:pt idx="4">
                  <c:v>48765</c:v>
                </c:pt>
                <c:pt idx="5">
                  <c:v>48505</c:v>
                </c:pt>
                <c:pt idx="6">
                  <c:v>47835</c:v>
                </c:pt>
                <c:pt idx="7">
                  <c:v>42890</c:v>
                </c:pt>
                <c:pt idx="8">
                  <c:v>42875</c:v>
                </c:pt>
                <c:pt idx="9">
                  <c:v>39650</c:v>
                </c:pt>
              </c:numCache>
            </c:numRef>
          </c:val>
          <c:extLst>
            <c:ext xmlns:c16="http://schemas.microsoft.com/office/drawing/2014/chart" uri="{C3380CC4-5D6E-409C-BE32-E72D297353CC}">
              <c16:uniqueId val="{00000000-4F90-4A46-A45E-59C880E3ED18}"/>
            </c:ext>
          </c:extLst>
        </c:ser>
        <c:dLbls>
          <c:showLegendKey val="0"/>
          <c:showVal val="0"/>
          <c:showCatName val="0"/>
          <c:showSerName val="0"/>
          <c:showPercent val="0"/>
          <c:showBubbleSize val="0"/>
        </c:dLbls>
        <c:gapWidth val="219"/>
        <c:overlap val="-27"/>
        <c:axId val="1891635664"/>
        <c:axId val="1891636144"/>
      </c:barChart>
      <c:catAx>
        <c:axId val="189163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36144"/>
        <c:crosses val="autoZero"/>
        <c:auto val="1"/>
        <c:lblAlgn val="ctr"/>
        <c:lblOffset val="100"/>
        <c:noMultiLvlLbl val="0"/>
      </c:catAx>
      <c:valAx>
        <c:axId val="1891636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63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522552</xdr:colOff>
      <xdr:row>6</xdr:row>
      <xdr:rowOff>152135</xdr:rowOff>
    </xdr:from>
    <xdr:to>
      <xdr:col>5</xdr:col>
      <xdr:colOff>1051718</xdr:colOff>
      <xdr:row>23</xdr:row>
      <xdr:rowOff>92604</xdr:rowOff>
    </xdr:to>
    <xdr:graphicFrame macro="">
      <xdr:nvGraphicFramePr>
        <xdr:cNvPr id="2" name="Chart 1">
          <a:extLst>
            <a:ext uri="{FF2B5EF4-FFF2-40B4-BE49-F238E27FC236}">
              <a16:creationId xmlns:a16="http://schemas.microsoft.com/office/drawing/2014/main" id="{F2110AAF-B40A-5CDB-3D8B-6911A6EFE5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46302</xdr:colOff>
      <xdr:row>6</xdr:row>
      <xdr:rowOff>148309</xdr:rowOff>
    </xdr:from>
    <xdr:to>
      <xdr:col>11</xdr:col>
      <xdr:colOff>493889</xdr:colOff>
      <xdr:row>23</xdr:row>
      <xdr:rowOff>92604</xdr:rowOff>
    </xdr:to>
    <xdr:graphicFrame macro="">
      <xdr:nvGraphicFramePr>
        <xdr:cNvPr id="3" name="Chart 2">
          <a:extLst>
            <a:ext uri="{FF2B5EF4-FFF2-40B4-BE49-F238E27FC236}">
              <a16:creationId xmlns:a16="http://schemas.microsoft.com/office/drawing/2014/main" id="{6C8C9C50-B1D8-491A-7707-61B66B0F93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519092</xdr:colOff>
      <xdr:row>24</xdr:row>
      <xdr:rowOff>59530</xdr:rowOff>
    </xdr:from>
    <xdr:to>
      <xdr:col>5</xdr:col>
      <xdr:colOff>1038489</xdr:colOff>
      <xdr:row>41</xdr:row>
      <xdr:rowOff>54622</xdr:rowOff>
    </xdr:to>
    <xdr:graphicFrame macro="">
      <xdr:nvGraphicFramePr>
        <xdr:cNvPr id="4" name="Chart 3">
          <a:extLst>
            <a:ext uri="{FF2B5EF4-FFF2-40B4-BE49-F238E27FC236}">
              <a16:creationId xmlns:a16="http://schemas.microsoft.com/office/drawing/2014/main" id="{6480A284-538A-BC09-56E1-9E5812FB2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39688</xdr:colOff>
      <xdr:row>24</xdr:row>
      <xdr:rowOff>85989</xdr:rowOff>
    </xdr:from>
    <xdr:to>
      <xdr:col>11</xdr:col>
      <xdr:colOff>493889</xdr:colOff>
      <xdr:row>41</xdr:row>
      <xdr:rowOff>54623</xdr:rowOff>
    </xdr:to>
    <xdr:graphicFrame macro="">
      <xdr:nvGraphicFramePr>
        <xdr:cNvPr id="5" name="Chart 4">
          <a:extLst>
            <a:ext uri="{FF2B5EF4-FFF2-40B4-BE49-F238E27FC236}">
              <a16:creationId xmlns:a16="http://schemas.microsoft.com/office/drawing/2014/main" id="{A01AB07D-EA3C-8869-A00E-4502402DA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70970</xdr:colOff>
      <xdr:row>15</xdr:row>
      <xdr:rowOff>66391</xdr:rowOff>
    </xdr:from>
    <xdr:to>
      <xdr:col>1</xdr:col>
      <xdr:colOff>436563</xdr:colOff>
      <xdr:row>23</xdr:row>
      <xdr:rowOff>92604</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7D7B9C3-60C0-01F5-37CC-E9D67D90C9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970" y="3105320"/>
              <a:ext cx="1510861" cy="14776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52917</xdr:colOff>
      <xdr:row>24</xdr:row>
      <xdr:rowOff>36879</xdr:rowOff>
    </xdr:from>
    <xdr:to>
      <xdr:col>1</xdr:col>
      <xdr:colOff>443177</xdr:colOff>
      <xdr:row>41</xdr:row>
      <xdr:rowOff>52917</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2BD78612-E29A-4D57-8440-527B232B065D}"/>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2917" y="4708665"/>
              <a:ext cx="1535528" cy="3100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59531</xdr:colOff>
      <xdr:row>6</xdr:row>
      <xdr:rowOff>149813</xdr:rowOff>
    </xdr:from>
    <xdr:to>
      <xdr:col>1</xdr:col>
      <xdr:colOff>436563</xdr:colOff>
      <xdr:row>14</xdr:row>
      <xdr:rowOff>152133</xdr:rowOff>
    </xdr:to>
    <mc:AlternateContent xmlns:mc="http://schemas.openxmlformats.org/markup-compatibility/2006">
      <mc:Choice xmlns:a14="http://schemas.microsoft.com/office/drawing/2010/main" Requires="a14">
        <xdr:graphicFrame macro="">
          <xdr:nvGraphicFramePr>
            <xdr:cNvPr id="9" name="Filter by Month">
              <a:extLst>
                <a:ext uri="{FF2B5EF4-FFF2-40B4-BE49-F238E27FC236}">
                  <a16:creationId xmlns:a16="http://schemas.microsoft.com/office/drawing/2014/main" id="{8BBAE352-CA2A-90AB-3288-399FA821D804}"/>
                </a:ext>
              </a:extLst>
            </xdr:cNvPr>
            <xdr:cNvGraphicFramePr/>
          </xdr:nvGraphicFramePr>
          <xdr:xfrm>
            <a:off x="0" y="0"/>
            <a:ext cx="0" cy="0"/>
          </xdr:xfrm>
          <a:graphic>
            <a:graphicData uri="http://schemas.microsoft.com/office/drawing/2010/slicer">
              <sle:slicer xmlns:sle="http://schemas.microsoft.com/office/drawing/2010/slicer" name="Filter by Month"/>
            </a:graphicData>
          </a:graphic>
        </xdr:graphicFrame>
      </mc:Choice>
      <mc:Fallback>
        <xdr:sp macro="" textlink="">
          <xdr:nvSpPr>
            <xdr:cNvPr id="0" name=""/>
            <xdr:cNvSpPr>
              <a:spLocks noTextEdit="1"/>
            </xdr:cNvSpPr>
          </xdr:nvSpPr>
          <xdr:spPr>
            <a:xfrm>
              <a:off x="59531" y="1555884"/>
              <a:ext cx="1522300" cy="1453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ali ~" refreshedDate="46072.693096064817" createdVersion="8" refreshedVersion="8" minRefreshableVersion="3" recordCount="100" xr:uid="{385B50CE-A128-418E-96B7-7EB3CA115F15}">
  <cacheSource type="worksheet">
    <worksheetSource name="Table1"/>
  </cacheSource>
  <cacheFields count="12">
    <cacheField name="Order ID" numFmtId="0">
      <sharedItems/>
    </cacheField>
    <cacheField name="Date" numFmtId="14">
      <sharedItems containsSemiMixedTypes="0" containsNonDate="0" containsDate="1" containsString="0" minDate="2025-09-01T00:00:00" maxDate="2025-12-10T00:00:00"/>
    </cacheField>
    <cacheField name="Month" numFmtId="14">
      <sharedItems count="8">
        <s v="Sep"/>
        <s v="Oct"/>
        <s v="Nov"/>
        <s v="Dec"/>
        <s v="Oct_25" u="1"/>
        <s v="Nov_25" u="1"/>
        <s v="Dec_25" u="1"/>
        <s v="Jan_26" u="1"/>
      </sharedItems>
    </cacheField>
    <cacheField name="Region" numFmtId="0">
      <sharedItems count="4">
        <s v="North"/>
        <s v="South"/>
        <s v="East"/>
        <s v="West"/>
      </sharedItems>
    </cacheField>
    <cacheField name="Sales_Person" numFmtId="0">
      <sharedItems count="10">
        <s v="Aman Sharma"/>
        <s v="Priya Verma"/>
        <s v="Rahul Singh"/>
        <s v="Neha Gupta"/>
        <s v="Rohit Kumar"/>
        <s v="Sneha Patel"/>
        <s v="Arjun Mehta"/>
        <s v="Pooja Yadav"/>
        <s v="Vikas Jain"/>
        <s v="Kavya Mishra"/>
      </sharedItems>
    </cacheField>
    <cacheField name="Product_Category" numFmtId="0">
      <sharedItems count="10">
        <s v="Laptop"/>
        <s v="Mobile"/>
        <s v="Headphones"/>
        <s v="Keyboard"/>
        <s v="Mouse"/>
        <s v="Tablet"/>
        <s v="Smartwatch"/>
        <s v="Printer"/>
        <s v="Monitor"/>
        <s v="Speaker"/>
      </sharedItems>
    </cacheField>
    <cacheField name="Price/Unit" numFmtId="0">
      <sharedItems containsSemiMixedTypes="0" containsString="0" containsNumber="1" containsInteger="1" minValue="120" maxValue="260"/>
    </cacheField>
    <cacheField name="Unit_Sold" numFmtId="0">
      <sharedItems containsSemiMixedTypes="0" containsString="0" containsNumber="1" containsInteger="1" minValue="11" maxValue="45"/>
    </cacheField>
    <cacheField name="Total Sales" numFmtId="0">
      <sharedItems containsSemiMixedTypes="0" containsString="0" containsNumber="1" containsInteger="1" minValue="1440" maxValue="11700"/>
    </cacheField>
    <cacheField name="Profit " numFmtId="0">
      <sharedItems containsSemiMixedTypes="0" containsString="0" containsNumber="1" containsInteger="1" minValue="540" maxValue="1780"/>
    </cacheField>
    <cacheField name="Profit %" numFmtId="0">
      <sharedItems containsSemiMixedTypes="0" containsString="0" containsNumber="1" minValue="7.6068376068376065" maxValue="90.659340659340657"/>
    </cacheField>
    <cacheField name="Sales_Category" numFmtId="0">
      <sharedItems/>
    </cacheField>
  </cacheFields>
  <extLst>
    <ext xmlns:x14="http://schemas.microsoft.com/office/spreadsheetml/2009/9/main" uri="{725AE2AE-9491-48be-B2B4-4EB974FC3084}">
      <x14:pivotCacheDefinition pivotCacheId="934362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d v="2025-09-01T00:00:00"/>
    <x v="0"/>
    <x v="0"/>
    <x v="0"/>
    <x v="0"/>
    <n v="120"/>
    <n v="12"/>
    <n v="1440"/>
    <n v="1200"/>
    <n v="83.333333333333343"/>
    <s v="Online"/>
  </r>
  <r>
    <s v="ORD002"/>
    <d v="2025-09-02T00:00:00"/>
    <x v="0"/>
    <x v="1"/>
    <x v="1"/>
    <x v="1"/>
    <n v="150"/>
    <n v="18"/>
    <n v="2700"/>
    <n v="850"/>
    <n v="31.481481481481481"/>
    <s v="Offline (Retail Store)"/>
  </r>
  <r>
    <s v="ORD003"/>
    <d v="2025-09-03T00:00:00"/>
    <x v="0"/>
    <x v="2"/>
    <x v="2"/>
    <x v="2"/>
    <n v="200"/>
    <n v="25"/>
    <n v="5000"/>
    <n v="960"/>
    <n v="19.2"/>
    <s v="Wholesale"/>
  </r>
  <r>
    <s v="ORD004"/>
    <d v="2025-09-04T00:00:00"/>
    <x v="0"/>
    <x v="3"/>
    <x v="3"/>
    <x v="3"/>
    <n v="180"/>
    <n v="30"/>
    <n v="5400"/>
    <n v="1500"/>
    <n v="27.777777777777779"/>
    <s v="Direct Sales"/>
  </r>
  <r>
    <s v="ORD005"/>
    <d v="2025-09-05T00:00:00"/>
    <x v="0"/>
    <x v="0"/>
    <x v="4"/>
    <x v="4"/>
    <n v="130"/>
    <n v="15"/>
    <n v="1950"/>
    <n v="720"/>
    <n v="36.923076923076927"/>
    <s v="Distributor"/>
  </r>
  <r>
    <s v="ORD006"/>
    <d v="2025-09-06T00:00:00"/>
    <x v="0"/>
    <x v="1"/>
    <x v="5"/>
    <x v="5"/>
    <n v="160"/>
    <n v="22"/>
    <n v="3520"/>
    <n v="1340"/>
    <n v="38.06818181818182"/>
    <s v="Reseller"/>
  </r>
  <r>
    <s v="ORD007"/>
    <d v="2025-09-07T00:00:00"/>
    <x v="0"/>
    <x v="2"/>
    <x v="6"/>
    <x v="6"/>
    <n v="220"/>
    <n v="40"/>
    <n v="8800"/>
    <n v="980"/>
    <n v="11.136363636363637"/>
    <s v="B2B (Business to Business)"/>
  </r>
  <r>
    <s v="ORD008"/>
    <d v="2025-09-08T00:00:00"/>
    <x v="0"/>
    <x v="3"/>
    <x v="7"/>
    <x v="7"/>
    <n v="210"/>
    <n v="35"/>
    <n v="7350"/>
    <n v="560"/>
    <n v="7.6190476190476195"/>
    <s v="B2C (Business to Customer)"/>
  </r>
  <r>
    <s v="ORD009"/>
    <d v="2025-09-09T00:00:00"/>
    <x v="0"/>
    <x v="0"/>
    <x v="8"/>
    <x v="8"/>
    <n v="190"/>
    <n v="28"/>
    <n v="5320"/>
    <n v="1780"/>
    <n v="33.458646616541351"/>
    <s v="Subscription"/>
  </r>
  <r>
    <s v="ORD010"/>
    <d v="2025-09-10T00:00:00"/>
    <x v="0"/>
    <x v="1"/>
    <x v="9"/>
    <x v="9"/>
    <n v="140"/>
    <n v="16"/>
    <n v="2240"/>
    <n v="910"/>
    <n v="40.625"/>
    <s v="Promotional / Discount Sale"/>
  </r>
  <r>
    <s v="ORD011"/>
    <d v="2025-09-11T00:00:00"/>
    <x v="0"/>
    <x v="2"/>
    <x v="0"/>
    <x v="0"/>
    <n v="155"/>
    <n v="20"/>
    <n v="3100"/>
    <n v="1530"/>
    <n v="49.354838709677416"/>
    <s v="Online"/>
  </r>
  <r>
    <s v="ORD012"/>
    <d v="2025-09-12T00:00:00"/>
    <x v="0"/>
    <x v="3"/>
    <x v="1"/>
    <x v="1"/>
    <n v="175"/>
    <n v="24"/>
    <n v="4200"/>
    <n v="900"/>
    <n v="21.428571428571427"/>
    <s v="Offline (Retail Store)"/>
  </r>
  <r>
    <s v="ORD013"/>
    <d v="2025-09-13T00:00:00"/>
    <x v="0"/>
    <x v="0"/>
    <x v="2"/>
    <x v="2"/>
    <n v="205"/>
    <n v="32"/>
    <n v="6560"/>
    <n v="820"/>
    <n v="12.5"/>
    <s v="Wholesale"/>
  </r>
  <r>
    <s v="ORD014"/>
    <d v="2025-09-14T00:00:00"/>
    <x v="0"/>
    <x v="1"/>
    <x v="3"/>
    <x v="3"/>
    <n v="125"/>
    <n v="14"/>
    <n v="1750"/>
    <n v="1090"/>
    <n v="62.285714285714292"/>
    <s v="Direct Sales"/>
  </r>
  <r>
    <s v="ORD015"/>
    <d v="2025-09-15T00:00:00"/>
    <x v="0"/>
    <x v="2"/>
    <x v="4"/>
    <x v="4"/>
    <n v="165"/>
    <n v="19"/>
    <n v="3135"/>
    <n v="1430"/>
    <n v="45.614035087719294"/>
    <s v="Distributor"/>
  </r>
  <r>
    <s v="ORD016"/>
    <d v="2025-09-16T00:00:00"/>
    <x v="0"/>
    <x v="3"/>
    <x v="5"/>
    <x v="5"/>
    <n v="195"/>
    <n v="27"/>
    <n v="5265"/>
    <n v="770"/>
    <n v="14.624881291547959"/>
    <s v="Reseller"/>
  </r>
  <r>
    <s v="ORD017"/>
    <d v="2025-09-17T00:00:00"/>
    <x v="0"/>
    <x v="0"/>
    <x v="6"/>
    <x v="6"/>
    <n v="230"/>
    <n v="36"/>
    <n v="8280"/>
    <n v="920"/>
    <n v="11.111111111111111"/>
    <s v="B2B (Business to Business)"/>
  </r>
  <r>
    <s v="ORD018"/>
    <d v="2025-09-18T00:00:00"/>
    <x v="0"/>
    <x v="1"/>
    <x v="7"/>
    <x v="7"/>
    <n v="170"/>
    <n v="21"/>
    <n v="3570"/>
    <n v="1560"/>
    <n v="43.69747899159664"/>
    <s v="B2C (Business to Customer)"/>
  </r>
  <r>
    <s v="ORD019"/>
    <d v="2025-09-19T00:00:00"/>
    <x v="0"/>
    <x v="2"/>
    <x v="8"/>
    <x v="8"/>
    <n v="145"/>
    <n v="17"/>
    <n v="2465"/>
    <n v="690"/>
    <n v="27.99188640973631"/>
    <s v="Subscription"/>
  </r>
  <r>
    <s v="ORD020"/>
    <d v="2025-09-20T00:00:00"/>
    <x v="0"/>
    <x v="3"/>
    <x v="9"/>
    <x v="9"/>
    <n v="185"/>
    <n v="29"/>
    <n v="5365"/>
    <n v="880"/>
    <n v="16.402609506057782"/>
    <s v="Promotional / Discount Sale"/>
  </r>
  <r>
    <s v="ORD021"/>
    <d v="2025-09-21T00:00:00"/>
    <x v="0"/>
    <x v="0"/>
    <x v="0"/>
    <x v="0"/>
    <n v="215"/>
    <n v="31"/>
    <n v="6665"/>
    <n v="1320"/>
    <n v="19.804951237809451"/>
    <s v="Online"/>
  </r>
  <r>
    <s v="ORD022"/>
    <d v="2025-09-22T00:00:00"/>
    <x v="0"/>
    <x v="1"/>
    <x v="1"/>
    <x v="1"/>
    <n v="160"/>
    <n v="26"/>
    <n v="4160"/>
    <n v="640"/>
    <n v="15.384615384615385"/>
    <s v="Offline (Retail Store)"/>
  </r>
  <r>
    <s v="ORD023"/>
    <d v="2025-09-23T00:00:00"/>
    <x v="0"/>
    <x v="2"/>
    <x v="2"/>
    <x v="2"/>
    <n v="240"/>
    <n v="38"/>
    <n v="9120"/>
    <n v="1010"/>
    <n v="11.074561403508772"/>
    <s v="Wholesale"/>
  </r>
  <r>
    <s v="ORD024"/>
    <d v="2025-09-24T00:00:00"/>
    <x v="0"/>
    <x v="3"/>
    <x v="3"/>
    <x v="3"/>
    <n v="150"/>
    <n v="23"/>
    <n v="3450"/>
    <n v="1180"/>
    <n v="34.202898550724633"/>
    <s v="Direct Sales"/>
  </r>
  <r>
    <s v="ORD025"/>
    <d v="2025-09-25T00:00:00"/>
    <x v="0"/>
    <x v="0"/>
    <x v="4"/>
    <x v="4"/>
    <n v="135"/>
    <n v="11"/>
    <n v="1485"/>
    <n v="540"/>
    <n v="36.363636363636367"/>
    <s v="Distributor"/>
  </r>
  <r>
    <s v="ORD026"/>
    <d v="2025-09-26T00:00:00"/>
    <x v="0"/>
    <x v="1"/>
    <x v="5"/>
    <x v="5"/>
    <n v="225"/>
    <n v="34"/>
    <n v="7650"/>
    <n v="1670"/>
    <n v="21.830065359477125"/>
    <s v="Reseller"/>
  </r>
  <r>
    <s v="ORD027"/>
    <d v="2025-09-27T00:00:00"/>
    <x v="0"/>
    <x v="2"/>
    <x v="6"/>
    <x v="6"/>
    <n v="260"/>
    <n v="45"/>
    <n v="11700"/>
    <n v="890"/>
    <n v="7.6068376068376065"/>
    <s v="B2B (Business to Business)"/>
  </r>
  <r>
    <s v="ORD028"/>
    <d v="2025-09-28T00:00:00"/>
    <x v="0"/>
    <x v="3"/>
    <x v="7"/>
    <x v="7"/>
    <n v="140"/>
    <n v="13"/>
    <n v="1820"/>
    <n v="760"/>
    <n v="41.758241758241759"/>
    <s v="B2C (Business to Customer)"/>
  </r>
  <r>
    <s v="ORD029"/>
    <d v="2025-09-29T00:00:00"/>
    <x v="0"/>
    <x v="0"/>
    <x v="8"/>
    <x v="8"/>
    <n v="195"/>
    <n v="28"/>
    <n v="5460"/>
    <n v="1250"/>
    <n v="22.893772893772894"/>
    <s v="Subscription"/>
  </r>
  <r>
    <s v="ORD030"/>
    <d v="2025-09-30T00:00:00"/>
    <x v="0"/>
    <x v="1"/>
    <x v="9"/>
    <x v="9"/>
    <n v="170"/>
    <n v="20"/>
    <n v="3400"/>
    <n v="940"/>
    <n v="27.647058823529413"/>
    <s v="Promotional / Discount Sale"/>
  </r>
  <r>
    <s v="ORD031"/>
    <d v="2025-10-01T00:00:00"/>
    <x v="1"/>
    <x v="2"/>
    <x v="0"/>
    <x v="0"/>
    <n v="155"/>
    <n v="16"/>
    <n v="2480"/>
    <n v="610"/>
    <n v="24.596774193548388"/>
    <s v="Online"/>
  </r>
  <r>
    <s v="ORD032"/>
    <d v="2025-10-02T00:00:00"/>
    <x v="1"/>
    <x v="3"/>
    <x v="1"/>
    <x v="1"/>
    <n v="235"/>
    <n v="37"/>
    <n v="8695"/>
    <n v="1490"/>
    <n v="17.136285221391603"/>
    <s v="Offline (Retail Store)"/>
  </r>
  <r>
    <s v="ORD033"/>
    <d v="2025-10-03T00:00:00"/>
    <x v="1"/>
    <x v="0"/>
    <x v="2"/>
    <x v="2"/>
    <n v="165"/>
    <n v="22"/>
    <n v="3630"/>
    <n v="660"/>
    <n v="18.181818181818183"/>
    <s v="Wholesale"/>
  </r>
  <r>
    <s v="ORD034"/>
    <d v="2025-10-04T00:00:00"/>
    <x v="1"/>
    <x v="1"/>
    <x v="3"/>
    <x v="3"/>
    <n v="250"/>
    <n v="41"/>
    <n v="10250"/>
    <n v="830"/>
    <n v="8.0975609756097562"/>
    <s v="Direct Sales"/>
  </r>
  <r>
    <s v="ORD035"/>
    <d v="2025-10-05T00:00:00"/>
    <x v="1"/>
    <x v="2"/>
    <x v="4"/>
    <x v="4"/>
    <n v="210"/>
    <n v="33"/>
    <n v="6930"/>
    <n v="970"/>
    <n v="13.997113997113997"/>
    <s v="Distributor"/>
  </r>
  <r>
    <s v="ORD036"/>
    <d v="2025-10-06T00:00:00"/>
    <x v="1"/>
    <x v="3"/>
    <x v="5"/>
    <x v="5"/>
    <n v="180"/>
    <n v="25"/>
    <n v="4500"/>
    <n v="1120"/>
    <n v="24.888888888888889"/>
    <s v="Reseller"/>
  </r>
  <r>
    <s v="ORD037"/>
    <d v="2025-10-07T00:00:00"/>
    <x v="1"/>
    <x v="0"/>
    <x v="6"/>
    <x v="6"/>
    <n v="150"/>
    <n v="18"/>
    <n v="2700"/>
    <n v="680"/>
    <n v="25.185185185185183"/>
    <s v="B2B (Business to Business)"/>
  </r>
  <r>
    <s v="ORD038"/>
    <d v="2025-10-08T00:00:00"/>
    <x v="1"/>
    <x v="1"/>
    <x v="7"/>
    <x v="7"/>
    <n v="200"/>
    <n v="30"/>
    <n v="6000"/>
    <n v="1540"/>
    <n v="25.666666666666664"/>
    <s v="B2C (Business to Customer)"/>
  </r>
  <r>
    <s v="ORD039"/>
    <d v="2025-10-09T00:00:00"/>
    <x v="1"/>
    <x v="2"/>
    <x v="8"/>
    <x v="8"/>
    <n v="190"/>
    <n v="29"/>
    <n v="5510"/>
    <n v="720"/>
    <n v="13.06715063520871"/>
    <s v="Subscription"/>
  </r>
  <r>
    <s v="ORD040"/>
    <d v="2025-10-10T00:00:00"/>
    <x v="1"/>
    <x v="3"/>
    <x v="9"/>
    <x v="9"/>
    <n v="135"/>
    <n v="14"/>
    <n v="1890"/>
    <n v="860"/>
    <n v="45.5026455026455"/>
    <s v="Promotional / Discount Sale"/>
  </r>
  <r>
    <s v="ORD041"/>
    <d v="2025-10-11T00:00:00"/>
    <x v="1"/>
    <x v="0"/>
    <x v="0"/>
    <x v="0"/>
    <n v="175"/>
    <n v="27"/>
    <n v="4725"/>
    <n v="1380"/>
    <n v="29.206349206349209"/>
    <s v="Online"/>
  </r>
  <r>
    <s v="ORD042"/>
    <d v="2025-10-12T00:00:00"/>
    <x v="1"/>
    <x v="1"/>
    <x v="1"/>
    <x v="1"/>
    <n v="220"/>
    <n v="35"/>
    <n v="7700"/>
    <n v="990"/>
    <n v="12.857142857142856"/>
    <s v="Offline (Retail Store)"/>
  </r>
  <r>
    <s v="ORD043"/>
    <d v="2025-10-13T00:00:00"/>
    <x v="1"/>
    <x v="2"/>
    <x v="2"/>
    <x v="2"/>
    <n v="160"/>
    <n v="19"/>
    <n v="3040"/>
    <n v="580"/>
    <n v="19.078947368421055"/>
    <s v="Wholesale"/>
  </r>
  <r>
    <s v="ORD044"/>
    <d v="2025-10-14T00:00:00"/>
    <x v="1"/>
    <x v="3"/>
    <x v="3"/>
    <x v="3"/>
    <n v="185"/>
    <n v="24"/>
    <n v="4440"/>
    <n v="1190"/>
    <n v="26.801801801801801"/>
    <s v="Direct Sales"/>
  </r>
  <r>
    <s v="ORD045"/>
    <d v="2025-10-15T00:00:00"/>
    <x v="1"/>
    <x v="0"/>
    <x v="4"/>
    <x v="4"/>
    <n v="205"/>
    <n v="32"/>
    <n v="6560"/>
    <n v="1210"/>
    <n v="18.445121951219512"/>
    <s v="Distributor"/>
  </r>
  <r>
    <s v="ORD046"/>
    <d v="2025-10-16T00:00:00"/>
    <x v="1"/>
    <x v="1"/>
    <x v="5"/>
    <x v="5"/>
    <n v="170"/>
    <n v="21"/>
    <n v="3570"/>
    <n v="910"/>
    <n v="25.490196078431371"/>
    <s v="Reseller"/>
  </r>
  <r>
    <s v="ORD047"/>
    <d v="2025-10-17T00:00:00"/>
    <x v="1"/>
    <x v="2"/>
    <x v="6"/>
    <x v="6"/>
    <n v="145"/>
    <n v="17"/>
    <n v="2465"/>
    <n v="760"/>
    <n v="30.831643002028397"/>
    <s v="B2B (Business to Business)"/>
  </r>
  <r>
    <s v="ORD048"/>
    <d v="2025-10-18T00:00:00"/>
    <x v="1"/>
    <x v="3"/>
    <x v="7"/>
    <x v="7"/>
    <n v="180"/>
    <n v="26"/>
    <n v="4680"/>
    <n v="1680"/>
    <n v="35.897435897435898"/>
    <s v="B2C (Business to Customer)"/>
  </r>
  <r>
    <s v="ORD049"/>
    <d v="2025-10-19T00:00:00"/>
    <x v="1"/>
    <x v="0"/>
    <x v="8"/>
    <x v="8"/>
    <n v="240"/>
    <n v="39"/>
    <n v="9360"/>
    <n v="820"/>
    <n v="8.7606837606837598"/>
    <s v="Subscription"/>
  </r>
  <r>
    <s v="ORD050"/>
    <d v="2025-10-20T00:00:00"/>
    <x v="1"/>
    <x v="1"/>
    <x v="9"/>
    <x v="9"/>
    <n v="155"/>
    <n v="15"/>
    <n v="2325"/>
    <n v="1340"/>
    <n v="57.634408602150536"/>
    <s v="Promotional / Discount Sale"/>
  </r>
  <r>
    <s v="ORD051"/>
    <d v="2025-10-21T00:00:00"/>
    <x v="1"/>
    <x v="2"/>
    <x v="0"/>
    <x v="0"/>
    <n v="165"/>
    <n v="20"/>
    <n v="3300"/>
    <n v="690"/>
    <n v="20.909090909090907"/>
    <s v="Online"/>
  </r>
  <r>
    <s v="ORD052"/>
    <d v="2025-10-22T00:00:00"/>
    <x v="1"/>
    <x v="3"/>
    <x v="1"/>
    <x v="1"/>
    <n v="225"/>
    <n v="34"/>
    <n v="7650"/>
    <n v="1050"/>
    <n v="13.725490196078432"/>
    <s v="Offline (Retail Store)"/>
  </r>
  <r>
    <s v="ORD053"/>
    <d v="2025-10-23T00:00:00"/>
    <x v="1"/>
    <x v="0"/>
    <x v="2"/>
    <x v="2"/>
    <n v="195"/>
    <n v="28"/>
    <n v="5460"/>
    <n v="940"/>
    <n v="17.216117216117215"/>
    <s v="Wholesale"/>
  </r>
  <r>
    <s v="ORD054"/>
    <d v="2025-10-24T00:00:00"/>
    <x v="1"/>
    <x v="1"/>
    <x v="3"/>
    <x v="3"/>
    <n v="210"/>
    <n v="31"/>
    <n v="6510"/>
    <n v="710"/>
    <n v="10.906298003072196"/>
    <s v="Direct Sales"/>
  </r>
  <r>
    <s v="ORD055"/>
    <d v="2025-10-25T00:00:00"/>
    <x v="1"/>
    <x v="2"/>
    <x v="4"/>
    <x v="4"/>
    <n v="175"/>
    <n v="23"/>
    <n v="4025"/>
    <n v="1080"/>
    <n v="26.83229813664596"/>
    <s v="Distributor"/>
  </r>
  <r>
    <s v="ORD056"/>
    <d v="2025-10-26T00:00:00"/>
    <x v="1"/>
    <x v="3"/>
    <x v="5"/>
    <x v="5"/>
    <n v="150"/>
    <n v="18"/>
    <n v="2700"/>
    <n v="880"/>
    <n v="32.592592592592595"/>
    <s v="Reseller"/>
  </r>
  <r>
    <s v="ORD057"/>
    <d v="2025-10-27T00:00:00"/>
    <x v="1"/>
    <x v="0"/>
    <x v="6"/>
    <x v="6"/>
    <n v="230"/>
    <n v="36"/>
    <n v="8280"/>
    <n v="1590"/>
    <n v="19.202898550724637"/>
    <s v="B2B (Business to Business)"/>
  </r>
  <r>
    <s v="ORD058"/>
    <d v="2025-10-28T00:00:00"/>
    <x v="1"/>
    <x v="1"/>
    <x v="7"/>
    <x v="7"/>
    <n v="260"/>
    <n v="40"/>
    <n v="10400"/>
    <n v="1020"/>
    <n v="9.8076923076923084"/>
    <s v="B2C (Business to Customer)"/>
  </r>
  <r>
    <s v="ORD059"/>
    <d v="2025-10-29T00:00:00"/>
    <x v="1"/>
    <x v="2"/>
    <x v="8"/>
    <x v="8"/>
    <n v="160"/>
    <n v="22"/>
    <n v="3520"/>
    <n v="630"/>
    <n v="17.897727272727273"/>
    <s v="Subscription"/>
  </r>
  <r>
    <s v="ORD060"/>
    <d v="2025-10-30T00:00:00"/>
    <x v="1"/>
    <x v="3"/>
    <x v="9"/>
    <x v="9"/>
    <n v="140"/>
    <n v="16"/>
    <n v="2240"/>
    <n v="1470"/>
    <n v="65.625"/>
    <s v="Promotional / Discount Sale"/>
  </r>
  <r>
    <s v="ORD061"/>
    <d v="2025-10-31T00:00:00"/>
    <x v="1"/>
    <x v="0"/>
    <x v="0"/>
    <x v="0"/>
    <n v="200"/>
    <n v="29"/>
    <n v="5800"/>
    <n v="920"/>
    <n v="15.862068965517242"/>
    <s v="Online"/>
  </r>
  <r>
    <s v="ORD062"/>
    <d v="2025-11-01T00:00:00"/>
    <x v="2"/>
    <x v="1"/>
    <x v="1"/>
    <x v="1"/>
    <n v="185"/>
    <n v="27"/>
    <n v="4995"/>
    <n v="780"/>
    <n v="15.615615615615615"/>
    <s v="Offline (Retail Store)"/>
  </r>
  <r>
    <s v="ORD063"/>
    <d v="2025-11-02T00:00:00"/>
    <x v="2"/>
    <x v="2"/>
    <x v="2"/>
    <x v="2"/>
    <n v="215"/>
    <n v="33"/>
    <n v="7095"/>
    <n v="1110"/>
    <n v="15.644820295983086"/>
    <s v="Wholesale"/>
  </r>
  <r>
    <s v="ORD064"/>
    <d v="2025-11-03T00:00:00"/>
    <x v="2"/>
    <x v="3"/>
    <x v="3"/>
    <x v="3"/>
    <n v="155"/>
    <n v="19"/>
    <n v="2945"/>
    <n v="1360"/>
    <n v="46.17996604414261"/>
    <s v="Direct Sales"/>
  </r>
  <r>
    <s v="ORD065"/>
    <d v="2025-11-04T00:00:00"/>
    <x v="2"/>
    <x v="0"/>
    <x v="4"/>
    <x v="4"/>
    <n v="175"/>
    <n v="24"/>
    <n v="4200"/>
    <n v="850"/>
    <n v="20.238095238095237"/>
    <s v="Distributor"/>
  </r>
  <r>
    <s v="ORD066"/>
    <d v="2025-11-05T00:00:00"/>
    <x v="2"/>
    <x v="1"/>
    <x v="5"/>
    <x v="5"/>
    <n v="240"/>
    <n v="38"/>
    <n v="9120"/>
    <n v="810"/>
    <n v="8.8815789473684212"/>
    <s v="Reseller"/>
  </r>
  <r>
    <s v="ORD067"/>
    <d v="2025-11-06T00:00:00"/>
    <x v="2"/>
    <x v="2"/>
    <x v="6"/>
    <x v="6"/>
    <n v="165"/>
    <n v="21"/>
    <n v="3465"/>
    <n v="990"/>
    <n v="28.571428571428569"/>
    <s v="B2B (Business to Business)"/>
  </r>
  <r>
    <s v="ORD068"/>
    <d v="2025-11-07T00:00:00"/>
    <x v="2"/>
    <x v="3"/>
    <x v="7"/>
    <x v="7"/>
    <n v="190"/>
    <n v="30"/>
    <n v="5700"/>
    <n v="720"/>
    <n v="12.631578947368421"/>
    <s v="B2C (Business to Customer)"/>
  </r>
  <r>
    <s v="ORD069"/>
    <d v="2025-11-08T00:00:00"/>
    <x v="2"/>
    <x v="0"/>
    <x v="8"/>
    <x v="8"/>
    <n v="130"/>
    <n v="14"/>
    <n v="1820"/>
    <n v="1650"/>
    <n v="90.659340659340657"/>
    <s v="Subscription"/>
  </r>
  <r>
    <s v="ORD070"/>
    <d v="2025-11-09T00:00:00"/>
    <x v="2"/>
    <x v="1"/>
    <x v="9"/>
    <x v="9"/>
    <n v="180"/>
    <n v="26"/>
    <n v="4680"/>
    <n v="840"/>
    <n v="17.948717948717949"/>
    <s v="Promotional / Discount Sale"/>
  </r>
  <r>
    <s v="ORD071"/>
    <d v="2025-11-10T00:00:00"/>
    <x v="2"/>
    <x v="2"/>
    <x v="0"/>
    <x v="0"/>
    <n v="225"/>
    <n v="35"/>
    <n v="7875"/>
    <n v="1180"/>
    <n v="14.984126984126982"/>
    <s v="Online"/>
  </r>
  <r>
    <s v="ORD072"/>
    <d v="2025-11-11T00:00:00"/>
    <x v="2"/>
    <x v="3"/>
    <x v="1"/>
    <x v="1"/>
    <n v="145"/>
    <n v="17"/>
    <n v="2465"/>
    <n v="690"/>
    <n v="27.99188640973631"/>
    <s v="Offline (Retail Store)"/>
  </r>
  <r>
    <s v="ORD073"/>
    <d v="2025-11-12T00:00:00"/>
    <x v="2"/>
    <x v="0"/>
    <x v="2"/>
    <x v="2"/>
    <n v="195"/>
    <n v="28"/>
    <n v="5460"/>
    <n v="1520"/>
    <n v="27.838827838827839"/>
    <s v="Wholesale"/>
  </r>
  <r>
    <s v="ORD074"/>
    <d v="2025-11-13T00:00:00"/>
    <x v="2"/>
    <x v="1"/>
    <x v="3"/>
    <x v="3"/>
    <n v="205"/>
    <n v="32"/>
    <n v="6560"/>
    <n v="970"/>
    <n v="14.786585365853657"/>
    <s v="Direct Sales"/>
  </r>
  <r>
    <s v="ORD075"/>
    <d v="2025-11-14T00:00:00"/>
    <x v="2"/>
    <x v="2"/>
    <x v="4"/>
    <x v="4"/>
    <n v="170"/>
    <n v="20"/>
    <n v="3400"/>
    <n v="560"/>
    <n v="16.470588235294116"/>
    <s v="Distributor"/>
  </r>
  <r>
    <s v="ORD076"/>
    <d v="2025-11-15T00:00:00"/>
    <x v="2"/>
    <x v="3"/>
    <x v="5"/>
    <x v="5"/>
    <n v="160"/>
    <n v="23"/>
    <n v="3680"/>
    <n v="1290"/>
    <n v="35.054347826086953"/>
    <s v="Reseller"/>
  </r>
  <r>
    <s v="ORD077"/>
    <d v="2025-11-16T00:00:00"/>
    <x v="2"/>
    <x v="0"/>
    <x v="6"/>
    <x v="6"/>
    <n v="250"/>
    <n v="41"/>
    <n v="10250"/>
    <n v="1450"/>
    <n v="14.146341463414632"/>
    <s v="B2B (Business to Business)"/>
  </r>
  <r>
    <s v="ORD078"/>
    <d v="2025-11-17T00:00:00"/>
    <x v="2"/>
    <x v="1"/>
    <x v="7"/>
    <x v="7"/>
    <n v="150"/>
    <n v="18"/>
    <n v="2700"/>
    <n v="880"/>
    <n v="32.592592592592595"/>
    <s v="B2C (Business to Customer)"/>
  </r>
  <r>
    <s v="ORD079"/>
    <d v="2025-11-18T00:00:00"/>
    <x v="2"/>
    <x v="2"/>
    <x v="8"/>
    <x v="8"/>
    <n v="220"/>
    <n v="34"/>
    <n v="7480"/>
    <n v="1410"/>
    <n v="18.850267379679146"/>
    <s v="Subscription"/>
  </r>
  <r>
    <s v="ORD080"/>
    <d v="2025-11-19T00:00:00"/>
    <x v="2"/>
    <x v="3"/>
    <x v="9"/>
    <x v="9"/>
    <n v="185"/>
    <n v="25"/>
    <n v="4625"/>
    <n v="910"/>
    <n v="19.675675675675674"/>
    <s v="Promotional / Discount Sale"/>
  </r>
  <r>
    <s v="ORD081"/>
    <d v="2025-11-20T00:00:00"/>
    <x v="2"/>
    <x v="0"/>
    <x v="0"/>
    <x v="0"/>
    <n v="140"/>
    <n v="16"/>
    <n v="2240"/>
    <n v="770"/>
    <n v="34.375"/>
    <s v="Online"/>
  </r>
  <r>
    <s v="ORD082"/>
    <d v="2025-11-21T00:00:00"/>
    <x v="2"/>
    <x v="1"/>
    <x v="1"/>
    <x v="1"/>
    <n v="200"/>
    <n v="29"/>
    <n v="5800"/>
    <n v="1600"/>
    <n v="27.586206896551722"/>
    <s v="Offline (Retail Store)"/>
  </r>
  <r>
    <s v="ORD083"/>
    <d v="2025-11-22T00:00:00"/>
    <x v="2"/>
    <x v="2"/>
    <x v="2"/>
    <x v="2"/>
    <n v="235"/>
    <n v="37"/>
    <n v="8695"/>
    <n v="1040"/>
    <n v="11.960897067280046"/>
    <s v="Wholesale"/>
  </r>
  <r>
    <s v="ORD084"/>
    <d v="2025-11-23T00:00:00"/>
    <x v="2"/>
    <x v="3"/>
    <x v="3"/>
    <x v="3"/>
    <n v="165"/>
    <n v="22"/>
    <n v="3630"/>
    <n v="680"/>
    <n v="18.732782369146005"/>
    <s v="Direct Sales"/>
  </r>
  <r>
    <s v="ORD085"/>
    <d v="2025-11-24T00:00:00"/>
    <x v="2"/>
    <x v="0"/>
    <x v="4"/>
    <x v="4"/>
    <n v="210"/>
    <n v="31"/>
    <n v="6510"/>
    <n v="1250"/>
    <n v="19.201228878648234"/>
    <s v="Distributor"/>
  </r>
  <r>
    <s v="ORD086"/>
    <d v="2025-11-25T00:00:00"/>
    <x v="2"/>
    <x v="1"/>
    <x v="5"/>
    <x v="5"/>
    <n v="190"/>
    <n v="27"/>
    <n v="5130"/>
    <n v="830"/>
    <n v="16.179337231968809"/>
    <s v="Reseller"/>
  </r>
  <r>
    <s v="ORD087"/>
    <d v="2025-11-26T00:00:00"/>
    <x v="2"/>
    <x v="2"/>
    <x v="6"/>
    <x v="6"/>
    <n v="155"/>
    <n v="19"/>
    <n v="2945"/>
    <n v="920"/>
    <n v="31.239388794567063"/>
    <s v="B2B (Business to Business)"/>
  </r>
  <r>
    <s v="ORD088"/>
    <d v="2025-11-27T00:00:00"/>
    <x v="2"/>
    <x v="3"/>
    <x v="7"/>
    <x v="7"/>
    <n v="230"/>
    <n v="36"/>
    <n v="8280"/>
    <n v="970"/>
    <n v="11.714975845410629"/>
    <s v="B2C (Business to Customer)"/>
  </r>
  <r>
    <s v="ORD089"/>
    <d v="2025-11-28T00:00:00"/>
    <x v="2"/>
    <x v="0"/>
    <x v="8"/>
    <x v="8"/>
    <n v="175"/>
    <n v="24"/>
    <n v="4200"/>
    <n v="1490"/>
    <n v="35.476190476190474"/>
    <s v="Subscription"/>
  </r>
  <r>
    <s v="ORD090"/>
    <d v="2025-11-29T00:00:00"/>
    <x v="2"/>
    <x v="1"/>
    <x v="9"/>
    <x v="9"/>
    <n v="205"/>
    <n v="33"/>
    <n v="6765"/>
    <n v="760"/>
    <n v="11.234294161123429"/>
    <s v="Promotional / Discount Sale"/>
  </r>
  <r>
    <s v="ORD091"/>
    <d v="2025-11-30T00:00:00"/>
    <x v="2"/>
    <x v="2"/>
    <x v="0"/>
    <x v="0"/>
    <n v="135"/>
    <n v="15"/>
    <n v="2025"/>
    <n v="1380"/>
    <n v="68.148148148148152"/>
    <s v="Online"/>
  </r>
  <r>
    <s v="ORD092"/>
    <d v="2025-12-01T00:00:00"/>
    <x v="3"/>
    <x v="3"/>
    <x v="1"/>
    <x v="1"/>
    <n v="195"/>
    <n v="28"/>
    <n v="5460"/>
    <n v="870"/>
    <n v="15.934065934065933"/>
    <s v="Offline (Retail Store)"/>
  </r>
  <r>
    <s v="ORD093"/>
    <d v="2025-12-02T00:00:00"/>
    <x v="3"/>
    <x v="0"/>
    <x v="2"/>
    <x v="2"/>
    <n v="260"/>
    <n v="40"/>
    <n v="10400"/>
    <n v="950"/>
    <n v="9.1346153846153832"/>
    <s v="Wholesale"/>
  </r>
  <r>
    <s v="ORD094"/>
    <d v="2025-12-03T00:00:00"/>
    <x v="3"/>
    <x v="1"/>
    <x v="3"/>
    <x v="3"/>
    <n v="170"/>
    <n v="21"/>
    <n v="3570"/>
    <n v="1100"/>
    <n v="30.812324929971989"/>
    <s v="Direct Sales"/>
  </r>
  <r>
    <s v="ORD095"/>
    <d v="2025-12-04T00:00:00"/>
    <x v="3"/>
    <x v="2"/>
    <x v="4"/>
    <x v="4"/>
    <n v="180"/>
    <n v="26"/>
    <n v="4680"/>
    <n v="690"/>
    <n v="14.743589743589745"/>
    <s v="Distributor"/>
  </r>
  <r>
    <s v="ORD096"/>
    <d v="2025-12-05T00:00:00"/>
    <x v="3"/>
    <x v="3"/>
    <x v="5"/>
    <x v="5"/>
    <n v="150"/>
    <n v="18"/>
    <n v="2700"/>
    <n v="1580"/>
    <n v="58.518518518518512"/>
    <s v="Reseller"/>
  </r>
  <r>
    <s v="ORD097"/>
    <d v="2025-12-06T00:00:00"/>
    <x v="3"/>
    <x v="0"/>
    <x v="6"/>
    <x v="6"/>
    <n v="225"/>
    <n v="35"/>
    <n v="7875"/>
    <n v="1020"/>
    <n v="12.952380952380951"/>
    <s v="B2B (Business to Business)"/>
  </r>
  <r>
    <s v="ORD098"/>
    <d v="2025-12-07T00:00:00"/>
    <x v="3"/>
    <x v="1"/>
    <x v="7"/>
    <x v="7"/>
    <n v="200"/>
    <n v="30"/>
    <n v="6000"/>
    <n v="720"/>
    <n v="12"/>
    <s v="B2C (Business to Customer)"/>
  </r>
  <r>
    <s v="ORD099"/>
    <d v="2025-12-08T00:00:00"/>
    <x v="3"/>
    <x v="2"/>
    <x v="8"/>
    <x v="8"/>
    <n v="165"/>
    <n v="22"/>
    <n v="3630"/>
    <n v="880"/>
    <n v="24.242424242424242"/>
    <s v="Subscription"/>
  </r>
  <r>
    <s v="ORD100"/>
    <d v="2025-12-09T00:00:00"/>
    <x v="3"/>
    <x v="3"/>
    <x v="9"/>
    <x v="9"/>
    <n v="240"/>
    <n v="39"/>
    <n v="9360"/>
    <n v="1340"/>
    <n v="14.316239316239315"/>
    <s v="Promotional / Discount S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C78FC5-C0B7-4E16-9228-3A79E0501C5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Months">
  <location ref="A7:B12" firstHeaderRow="1" firstDataRow="1" firstDataCol="1"/>
  <pivotFields count="12">
    <pivotField showAll="0"/>
    <pivotField numFmtId="14" showAll="0"/>
    <pivotField axis="axisRow" showAll="0">
      <items count="9">
        <item m="1" x="6"/>
        <item m="1" x="7"/>
        <item m="1" x="5"/>
        <item m="1" x="4"/>
        <item x="0"/>
        <item x="1"/>
        <item x="2"/>
        <item x="3"/>
        <item t="default"/>
      </items>
    </pivotField>
    <pivotField showAll="0">
      <items count="5">
        <item x="2"/>
        <item x="0"/>
        <item x="1"/>
        <item x="3"/>
        <item t="default"/>
      </items>
    </pivotField>
    <pivotField showAll="0"/>
    <pivotField showAll="0">
      <items count="11">
        <item x="2"/>
        <item x="3"/>
        <item x="0"/>
        <item x="1"/>
        <item x="8"/>
        <item x="4"/>
        <item x="7"/>
        <item x="6"/>
        <item x="9"/>
        <item x="5"/>
        <item t="default"/>
      </items>
    </pivotField>
    <pivotField showAll="0"/>
    <pivotField showAll="0"/>
    <pivotField dataField="1" showAll="0"/>
    <pivotField showAll="0"/>
    <pivotField showAll="0"/>
    <pivotField showAll="0"/>
  </pivotFields>
  <rowFields count="1">
    <field x="2"/>
  </rowFields>
  <rowItems count="5">
    <i>
      <x v="4"/>
    </i>
    <i>
      <x v="5"/>
    </i>
    <i>
      <x v="6"/>
    </i>
    <i>
      <x v="7"/>
    </i>
    <i t="grand">
      <x/>
    </i>
  </rowItems>
  <colItems count="1">
    <i/>
  </colItems>
  <dataFields count="1">
    <dataField name="Total Sales Value" fld="8" baseField="0" baseItem="0"/>
  </dataFields>
  <formats count="6">
    <format dxfId="257">
      <pivotArea type="all" dataOnly="0" outline="0" fieldPosition="0"/>
    </format>
    <format dxfId="256">
      <pivotArea outline="0" collapsedLevelsAreSubtotals="1" fieldPosition="0"/>
    </format>
    <format dxfId="255">
      <pivotArea field="2" type="button" dataOnly="0" labelOnly="1" outline="0" axis="axisRow" fieldPosition="0"/>
    </format>
    <format dxfId="254">
      <pivotArea dataOnly="0" labelOnly="1" fieldPosition="0">
        <references count="1">
          <reference field="2" count="0"/>
        </references>
      </pivotArea>
    </format>
    <format dxfId="253">
      <pivotArea dataOnly="0" labelOnly="1" grandRow="1" outline="0" fieldPosition="0"/>
    </format>
    <format dxfId="25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CCF4B-01C0-4343-8B3A-9DFC86FBE3B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Salesperson">
  <location ref="J7:K18" firstHeaderRow="1" firstDataRow="1" firstDataCol="1"/>
  <pivotFields count="12">
    <pivotField showAll="0"/>
    <pivotField numFmtId="14" showAll="0"/>
    <pivotField showAll="0">
      <items count="9">
        <item x="0"/>
        <item x="1"/>
        <item x="2"/>
        <item x="3"/>
        <item m="1" x="6"/>
        <item m="1" x="7"/>
        <item m="1" x="5"/>
        <item m="1" x="4"/>
        <item t="default"/>
      </items>
    </pivotField>
    <pivotField showAll="0">
      <items count="5">
        <item x="2"/>
        <item x="0"/>
        <item x="1"/>
        <item x="3"/>
        <item t="default"/>
      </items>
    </pivotField>
    <pivotField axis="axisRow" showAll="0" sortType="descending">
      <items count="11">
        <item x="0"/>
        <item x="6"/>
        <item x="9"/>
        <item x="3"/>
        <item x="7"/>
        <item x="1"/>
        <item x="2"/>
        <item x="4"/>
        <item x="5"/>
        <item x="8"/>
        <item t="default"/>
      </items>
      <autoSortScope>
        <pivotArea dataOnly="0" outline="0" fieldPosition="0">
          <references count="1">
            <reference field="4294967294" count="1" selected="0">
              <x v="0"/>
            </reference>
          </references>
        </pivotArea>
      </autoSortScope>
    </pivotField>
    <pivotField showAll="0">
      <items count="11">
        <item x="2"/>
        <item x="3"/>
        <item x="0"/>
        <item x="1"/>
        <item x="8"/>
        <item x="4"/>
        <item x="7"/>
        <item x="6"/>
        <item x="9"/>
        <item x="5"/>
        <item t="default"/>
      </items>
    </pivotField>
    <pivotField showAll="0"/>
    <pivotField showAll="0"/>
    <pivotField dataField="1" showAll="0"/>
    <pivotField showAll="0"/>
    <pivotField showAll="0"/>
    <pivotField showAll="0"/>
  </pivotFields>
  <rowFields count="1">
    <field x="4"/>
  </rowFields>
  <rowItems count="11">
    <i>
      <x v="1"/>
    </i>
    <i>
      <x v="6"/>
    </i>
    <i>
      <x v="4"/>
    </i>
    <i>
      <x v="5"/>
    </i>
    <i>
      <x v="9"/>
    </i>
    <i>
      <x v="3"/>
    </i>
    <i>
      <x v="8"/>
    </i>
    <i>
      <x v="2"/>
    </i>
    <i>
      <x v="7"/>
    </i>
    <i>
      <x/>
    </i>
    <i t="grand">
      <x/>
    </i>
  </rowItems>
  <colItems count="1">
    <i/>
  </colItems>
  <dataFields count="1">
    <dataField name="Total Sales Value" fld="8" baseField="0" baseItem="0"/>
  </dataFields>
  <formats count="12">
    <format dxfId="269">
      <pivotArea type="all" dataOnly="0" outline="0" fieldPosition="0"/>
    </format>
    <format dxfId="268">
      <pivotArea outline="0" collapsedLevelsAreSubtotals="1" fieldPosition="0"/>
    </format>
    <format dxfId="267">
      <pivotArea field="4" type="button" dataOnly="0" labelOnly="1" outline="0" axis="axisRow" fieldPosition="0"/>
    </format>
    <format dxfId="266">
      <pivotArea dataOnly="0" labelOnly="1" fieldPosition="0">
        <references count="1">
          <reference field="4" count="0"/>
        </references>
      </pivotArea>
    </format>
    <format dxfId="265">
      <pivotArea dataOnly="0" labelOnly="1" grandRow="1" outline="0" fieldPosition="0"/>
    </format>
    <format dxfId="264">
      <pivotArea dataOnly="0" labelOnly="1" outline="0" axis="axisValues" fieldPosition="0"/>
    </format>
    <format dxfId="263">
      <pivotArea type="all" dataOnly="0" outline="0" fieldPosition="0"/>
    </format>
    <format dxfId="262">
      <pivotArea outline="0" collapsedLevelsAreSubtotals="1" fieldPosition="0"/>
    </format>
    <format dxfId="261">
      <pivotArea field="4" type="button" dataOnly="0" labelOnly="1" outline="0" axis="axisRow" fieldPosition="0"/>
    </format>
    <format dxfId="260">
      <pivotArea dataOnly="0" labelOnly="1" fieldPosition="0">
        <references count="1">
          <reference field="4" count="0"/>
        </references>
      </pivotArea>
    </format>
    <format dxfId="259">
      <pivotArea dataOnly="0" labelOnly="1" grandRow="1" outline="0" fieldPosition="0"/>
    </format>
    <format dxfId="25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2574CD-24F3-4B64-8FA8-4980D91AC2B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G7:H12" firstHeaderRow="1" firstDataRow="1" firstDataCol="1"/>
  <pivotFields count="12">
    <pivotField showAll="0"/>
    <pivotField numFmtId="14" showAll="0"/>
    <pivotField showAll="0">
      <items count="9">
        <item x="0"/>
        <item x="1"/>
        <item x="2"/>
        <item x="3"/>
        <item m="1" x="6"/>
        <item m="1" x="7"/>
        <item m="1" x="5"/>
        <item m="1" x="4"/>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items count="11">
        <item x="2"/>
        <item x="3"/>
        <item x="0"/>
        <item x="1"/>
        <item x="8"/>
        <item x="4"/>
        <item x="7"/>
        <item x="6"/>
        <item x="9"/>
        <item x="5"/>
        <item t="default"/>
      </items>
    </pivotField>
    <pivotField showAll="0"/>
    <pivotField showAll="0"/>
    <pivotField dataField="1" showAll="0"/>
    <pivotField showAll="0"/>
    <pivotField showAll="0"/>
    <pivotField showAll="0"/>
  </pivotFields>
  <rowFields count="1">
    <field x="3"/>
  </rowFields>
  <rowItems count="5">
    <i>
      <x v="1"/>
    </i>
    <i>
      <x v="2"/>
    </i>
    <i>
      <x/>
    </i>
    <i>
      <x v="3"/>
    </i>
    <i t="grand">
      <x/>
    </i>
  </rowItems>
  <colItems count="1">
    <i/>
  </colItems>
  <dataFields count="1">
    <dataField name="Total Sales Value" fld="8" baseField="0" baseItem="0"/>
  </dataFields>
  <formats count="12">
    <format dxfId="281">
      <pivotArea type="all" dataOnly="0" outline="0" fieldPosition="0"/>
    </format>
    <format dxfId="280">
      <pivotArea outline="0" collapsedLevelsAreSubtotals="1" fieldPosition="0"/>
    </format>
    <format dxfId="279">
      <pivotArea field="3" type="button" dataOnly="0" labelOnly="1" outline="0" axis="axisRow" fieldPosition="0"/>
    </format>
    <format dxfId="278">
      <pivotArea dataOnly="0" labelOnly="1" fieldPosition="0">
        <references count="1">
          <reference field="3" count="0"/>
        </references>
      </pivotArea>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3" type="button" dataOnly="0" labelOnly="1" outline="0" axis="axisRow" fieldPosition="0"/>
    </format>
    <format dxfId="272">
      <pivotArea dataOnly="0" labelOnly="1" fieldPosition="0">
        <references count="1">
          <reference field="3" count="0"/>
        </references>
      </pivotArea>
    </format>
    <format dxfId="271">
      <pivotArea dataOnly="0" labelOnly="1" grandRow="1" outline="0" fieldPosition="0"/>
    </format>
    <format dxfId="27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1EF30-2C5F-4DBF-9176-3216CA12897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Category">
  <location ref="D7:E18" firstHeaderRow="1" firstDataRow="1" firstDataCol="1"/>
  <pivotFields count="12">
    <pivotField showAll="0"/>
    <pivotField numFmtId="14" showAll="0"/>
    <pivotField showAll="0">
      <items count="9">
        <item x="0"/>
        <item x="1"/>
        <item x="2"/>
        <item x="3"/>
        <item m="1" x="6"/>
        <item m="1" x="7"/>
        <item m="1" x="5"/>
        <item m="1" x="4"/>
        <item t="default"/>
      </items>
    </pivotField>
    <pivotField showAll="0">
      <items count="5">
        <item x="2"/>
        <item x="0"/>
        <item x="1"/>
        <item x="3"/>
        <item t="default"/>
      </items>
    </pivotField>
    <pivotField showAll="0"/>
    <pivotField axis="axisRow" showAll="0" sortType="descending">
      <items count="11">
        <item x="2"/>
        <item x="3"/>
        <item x="0"/>
        <item x="1"/>
        <item x="8"/>
        <item x="4"/>
        <item x="7"/>
        <item x="6"/>
        <item x="9"/>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s>
  <rowFields count="1">
    <field x="5"/>
  </rowFields>
  <rowItems count="11">
    <i>
      <x v="7"/>
    </i>
    <i>
      <x/>
    </i>
    <i>
      <x v="6"/>
    </i>
    <i>
      <x v="3"/>
    </i>
    <i>
      <x v="4"/>
    </i>
    <i>
      <x v="1"/>
    </i>
    <i>
      <x v="9"/>
    </i>
    <i>
      <x v="8"/>
    </i>
    <i>
      <x v="5"/>
    </i>
    <i>
      <x v="2"/>
    </i>
    <i t="grand">
      <x/>
    </i>
  </rowItems>
  <colItems count="1">
    <i/>
  </colItems>
  <dataFields count="1">
    <dataField name="Total Sales Value" fld="8" baseField="0" baseItem="0"/>
  </dataFields>
  <formats count="12">
    <format dxfId="293">
      <pivotArea type="all" dataOnly="0" outline="0" fieldPosition="0"/>
    </format>
    <format dxfId="292">
      <pivotArea outline="0" collapsedLevelsAreSubtotals="1" fieldPosition="0"/>
    </format>
    <format dxfId="291">
      <pivotArea field="5" type="button" dataOnly="0" labelOnly="1" outline="0" axis="axisRow" fieldPosition="0"/>
    </format>
    <format dxfId="290">
      <pivotArea dataOnly="0" labelOnly="1" fieldPosition="0">
        <references count="1">
          <reference field="5" count="0"/>
        </references>
      </pivotArea>
    </format>
    <format dxfId="289">
      <pivotArea dataOnly="0" labelOnly="1" grandRow="1" outline="0" fieldPosition="0"/>
    </format>
    <format dxfId="288">
      <pivotArea dataOnly="0" labelOnly="1" outline="0" axis="axisValues" fieldPosition="0"/>
    </format>
    <format dxfId="287">
      <pivotArea type="all" dataOnly="0" outline="0" fieldPosition="0"/>
    </format>
    <format dxfId="286">
      <pivotArea outline="0" collapsedLevelsAreSubtotals="1" fieldPosition="0"/>
    </format>
    <format dxfId="285">
      <pivotArea field="5" type="button" dataOnly="0" labelOnly="1" outline="0" axis="axisRow" fieldPosition="0"/>
    </format>
    <format dxfId="284">
      <pivotArea dataOnly="0" labelOnly="1" fieldPosition="0">
        <references count="1">
          <reference field="5" count="0"/>
        </references>
      </pivotArea>
    </format>
    <format dxfId="283">
      <pivotArea dataOnly="0" labelOnly="1" grandRow="1" outline="0" fieldPosition="0"/>
    </format>
    <format dxfId="28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3CAA20-9230-47D6-A626-BD8C2A5D82B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1:C32" firstHeaderRow="0" firstDataRow="1" firstDataCol="0"/>
  <pivotFields count="12">
    <pivotField showAll="0"/>
    <pivotField numFmtId="14" showAll="0"/>
    <pivotField showAll="0">
      <items count="9">
        <item x="0"/>
        <item x="1"/>
        <item x="2"/>
        <item x="3"/>
        <item m="1" x="6"/>
        <item m="1" x="7"/>
        <item m="1" x="5"/>
        <item m="1" x="4"/>
        <item t="default"/>
      </items>
    </pivotField>
    <pivotField showAll="0">
      <items count="5">
        <item x="2"/>
        <item x="0"/>
        <item x="1"/>
        <item x="3"/>
        <item t="default"/>
      </items>
    </pivotField>
    <pivotField showAll="0"/>
    <pivotField showAll="0">
      <items count="11">
        <item x="2"/>
        <item x="3"/>
        <item x="0"/>
        <item x="1"/>
        <item x="8"/>
        <item x="4"/>
        <item x="7"/>
        <item x="6"/>
        <item x="9"/>
        <item x="5"/>
        <item t="default"/>
      </items>
    </pivotField>
    <pivotField showAll="0"/>
    <pivotField dataField="1" showAll="0"/>
    <pivotField dataField="1" showAll="0"/>
    <pivotField dataField="1" showAll="0"/>
    <pivotField showAll="0"/>
    <pivotField showAll="0"/>
  </pivotFields>
  <rowItems count="1">
    <i/>
  </rowItems>
  <colFields count="1">
    <field x="-2"/>
  </colFields>
  <colItems count="3">
    <i>
      <x/>
    </i>
    <i i="1">
      <x v="1"/>
    </i>
    <i i="2">
      <x v="2"/>
    </i>
  </colItems>
  <dataFields count="3">
    <dataField name="Sum of Total Sales" fld="8" baseField="0" baseItem="0"/>
    <dataField name="Sum of Unit_Sold" fld="7" baseField="0" baseItem="0"/>
    <dataField name="Sum of Profit " fld="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863C1B-7604-4926-AF69-9CCC0282FCC7}" sourceName="Region">
  <pivotTables>
    <pivotTable tabId="8" name="PivotTable7"/>
    <pivotTable tabId="8" name="PivotTable8"/>
    <pivotTable tabId="8" name="PivotTable9"/>
    <pivotTable tabId="8" name="PivotTable6"/>
    <pivotTable tabId="8" name="PivotTable11"/>
  </pivotTables>
  <data>
    <tabular pivotCacheId="93436237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6080F3F-0459-40F4-B5BF-0EBFC599F7CE}" sourceName="Product_Category">
  <pivotTables>
    <pivotTable tabId="8" name="PivotTable7"/>
    <pivotTable tabId="8" name="PivotTable8"/>
    <pivotTable tabId="8" name="PivotTable9"/>
    <pivotTable tabId="8" name="PivotTable6"/>
    <pivotTable tabId="8" name="PivotTable11"/>
  </pivotTables>
  <data>
    <tabular pivotCacheId="934362375">
      <items count="10">
        <i x="2" s="1"/>
        <i x="3" s="1"/>
        <i x="0" s="1"/>
        <i x="1" s="1"/>
        <i x="8" s="1"/>
        <i x="4" s="1"/>
        <i x="7" s="1"/>
        <i x="6" s="1"/>
        <i x="9"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4BE178E-4CE5-4E32-BB59-D3BFA2F90377}" sourceName="Month">
  <pivotTables>
    <pivotTable tabId="8" name="PivotTable7"/>
    <pivotTable tabId="8" name="PivotTable8"/>
    <pivotTable tabId="8" name="PivotTable9"/>
    <pivotTable tabId="8" name="PivotTable6"/>
    <pivotTable tabId="8" name="PivotTable11"/>
  </pivotTables>
  <data>
    <tabular pivotCacheId="934362375">
      <items count="8">
        <i x="0" s="1"/>
        <i x="1" s="1"/>
        <i x="2" s="1"/>
        <i x="3" s="1"/>
        <i x="6" s="1" nd="1"/>
        <i x="7" s="1" nd="1"/>
        <i x="5"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D3CAF7-6198-4F99-85D4-D7AB55344E29}" cache="Slicer_Region" caption="Filter by Region" style="SlicerStyleOther2" rowHeight="251883"/>
  <slicer name="Product_Category" xr10:uid="{83DF2D2F-D9F9-4136-8DB3-D692E054254C}" cache="Slicer_Product_Category" caption="Filter by Product_Category" style="SlicerStyleOther2" rowHeight="251883"/>
  <slicer name="Filter by Month" xr10:uid="{2DB86F53-1084-469F-A26D-56A2D6351178}" cache="Slicer_Month" caption="Filter by Month" style="SlicerStyleOther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02ACE9-D7E7-4032-954F-B20E00373B0D}" name="Table1" displayName="Table1" ref="A1:L101" totalsRowShown="0" headerRowDxfId="310" dataDxfId="308" headerRowBorderDxfId="309" tableBorderDxfId="307" totalsRowBorderDxfId="306">
  <tableColumns count="12">
    <tableColumn id="1" xr3:uid="{019760A0-8B1A-4CB1-9611-5B38D8C736D8}" name="Order ID" dataDxfId="305"/>
    <tableColumn id="2" xr3:uid="{AD64488D-4FD0-4A8B-980D-005DC19D7B72}" name="Date" dataDxfId="304"/>
    <tableColumn id="3" xr3:uid="{83ADF6D4-EE01-4BD7-A1C4-E07889CD8C84}" name="Month" dataDxfId="303"/>
    <tableColumn id="4" xr3:uid="{8341336A-C5A1-41D7-8997-162EC081953E}" name="Region" dataDxfId="302"/>
    <tableColumn id="5" xr3:uid="{9C493BA8-BD59-4CE2-AD77-D0969DB1AC72}" name="Sales_Person" dataDxfId="301"/>
    <tableColumn id="6" xr3:uid="{F169EA30-8308-4807-A5D9-2DED882E0C0A}" name="Product_Category" dataDxfId="300"/>
    <tableColumn id="7" xr3:uid="{0AF3D8CE-B6CF-4DE4-BE97-5F4897AD9578}" name="Price/Unit" dataDxfId="299"/>
    <tableColumn id="8" xr3:uid="{F1D7056B-0F20-4762-8973-01E188EC0376}" name="Unit_Sold" dataDxfId="298"/>
    <tableColumn id="9" xr3:uid="{04C53154-19AE-4EF9-8BB9-6F470CC547B2}" name="Total Sales" dataDxfId="297">
      <calculatedColumnFormula>H2*G2</calculatedColumnFormula>
    </tableColumn>
    <tableColumn id="10" xr3:uid="{EFEDAAC2-4A9A-4E4C-A2D7-68154218F42A}" name="Profit " dataDxfId="296"/>
    <tableColumn id="11" xr3:uid="{D46D7A24-9701-4CBF-8A8E-D9A3C9FED933}" name="Profit %" dataDxfId="295">
      <calculatedColumnFormula>J2/I2</calculatedColumnFormula>
    </tableColumn>
    <tableColumn id="12" xr3:uid="{B958049E-C40D-42C1-BC07-B4D8B53DA615}" name="Sales_Category" dataDxfId="29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5E913-6161-4C33-9C06-842E5844856A}">
  <dimension ref="A1:L101"/>
  <sheetViews>
    <sheetView topLeftCell="A2" workbookViewId="0">
      <selection activeCell="A2" sqref="A1:A2"/>
    </sheetView>
  </sheetViews>
  <sheetFormatPr defaultRowHeight="14.5" x14ac:dyDescent="0.35"/>
  <cols>
    <col min="1" max="1" width="13.08984375" style="1" bestFit="1" customWidth="1"/>
    <col min="2" max="2" width="9.6328125" style="1" bestFit="1" customWidth="1"/>
    <col min="3" max="3" width="11.54296875" style="1" bestFit="1" customWidth="1"/>
    <col min="4" max="4" width="11.6328125" style="1" bestFit="1" customWidth="1"/>
    <col min="5" max="5" width="17.54296875" style="1" bestFit="1" customWidth="1"/>
    <col min="6" max="6" width="21.90625" style="1" bestFit="1" customWidth="1"/>
    <col min="7" max="7" width="14.7265625" style="1" bestFit="1" customWidth="1"/>
    <col min="8" max="8" width="14.26953125" style="1" bestFit="1" customWidth="1"/>
    <col min="9" max="9" width="15.08984375" style="1" bestFit="1" customWidth="1"/>
    <col min="10" max="10" width="11" style="1" bestFit="1" customWidth="1"/>
    <col min="11" max="11" width="12.6328125" style="1" bestFit="1" customWidth="1"/>
    <col min="12" max="12" width="22.36328125" style="1" bestFit="1" customWidth="1"/>
    <col min="13" max="16384" width="8.7265625" style="1"/>
  </cols>
  <sheetData>
    <row r="1" spans="1:12" ht="15.5" x14ac:dyDescent="0.35">
      <c r="A1" s="6" t="s">
        <v>0</v>
      </c>
      <c r="B1" s="7" t="s">
        <v>1</v>
      </c>
      <c r="C1" s="7" t="s">
        <v>134</v>
      </c>
      <c r="D1" s="7" t="s">
        <v>2</v>
      </c>
      <c r="E1" s="7" t="s">
        <v>128</v>
      </c>
      <c r="F1" s="7" t="s">
        <v>3</v>
      </c>
      <c r="G1" s="7" t="s">
        <v>129</v>
      </c>
      <c r="H1" s="7" t="s">
        <v>130</v>
      </c>
      <c r="I1" s="7" t="s">
        <v>133</v>
      </c>
      <c r="J1" s="7" t="s">
        <v>138</v>
      </c>
      <c r="K1" s="8" t="s">
        <v>131</v>
      </c>
      <c r="L1" s="9" t="s">
        <v>132</v>
      </c>
    </row>
    <row r="2" spans="1:12" x14ac:dyDescent="0.3">
      <c r="A2" s="4" t="s">
        <v>18</v>
      </c>
      <c r="B2" s="3">
        <v>45901</v>
      </c>
      <c r="C2" s="3" t="s">
        <v>153</v>
      </c>
      <c r="D2" s="2" t="s">
        <v>14</v>
      </c>
      <c r="E2" s="2" t="s">
        <v>118</v>
      </c>
      <c r="F2" s="2" t="s">
        <v>4</v>
      </c>
      <c r="G2" s="2">
        <v>120</v>
      </c>
      <c r="H2" s="2">
        <v>12</v>
      </c>
      <c r="I2" s="2">
        <f t="shared" ref="I2:I33" si="0">H2*G2</f>
        <v>1440</v>
      </c>
      <c r="J2" s="2">
        <v>1200</v>
      </c>
      <c r="K2" s="19">
        <f t="shared" ref="K2:K65" si="1">J2/I2</f>
        <v>0.83333333333333337</v>
      </c>
      <c r="L2" s="5" t="s">
        <v>139</v>
      </c>
    </row>
    <row r="3" spans="1:12" x14ac:dyDescent="0.3">
      <c r="A3" s="4" t="s">
        <v>19</v>
      </c>
      <c r="B3" s="3">
        <v>45902</v>
      </c>
      <c r="C3" s="3" t="s">
        <v>153</v>
      </c>
      <c r="D3" s="2" t="s">
        <v>15</v>
      </c>
      <c r="E3" s="2" t="s">
        <v>119</v>
      </c>
      <c r="F3" s="2" t="s">
        <v>5</v>
      </c>
      <c r="G3" s="2">
        <v>150</v>
      </c>
      <c r="H3" s="2">
        <v>18</v>
      </c>
      <c r="I3" s="2">
        <f t="shared" si="0"/>
        <v>2700</v>
      </c>
      <c r="J3" s="2">
        <v>850</v>
      </c>
      <c r="K3" s="19">
        <f t="shared" si="1"/>
        <v>0.31481481481481483</v>
      </c>
      <c r="L3" s="5" t="s">
        <v>140</v>
      </c>
    </row>
    <row r="4" spans="1:12" x14ac:dyDescent="0.3">
      <c r="A4" s="4" t="s">
        <v>20</v>
      </c>
      <c r="B4" s="3">
        <v>45903</v>
      </c>
      <c r="C4" s="3" t="s">
        <v>153</v>
      </c>
      <c r="D4" s="2" t="s">
        <v>16</v>
      </c>
      <c r="E4" s="2" t="s">
        <v>120</v>
      </c>
      <c r="F4" s="2" t="s">
        <v>6</v>
      </c>
      <c r="G4" s="2">
        <v>200</v>
      </c>
      <c r="H4" s="2">
        <v>25</v>
      </c>
      <c r="I4" s="2">
        <f t="shared" si="0"/>
        <v>5000</v>
      </c>
      <c r="J4" s="2">
        <v>960</v>
      </c>
      <c r="K4" s="19">
        <f t="shared" si="1"/>
        <v>0.192</v>
      </c>
      <c r="L4" s="5" t="s">
        <v>141</v>
      </c>
    </row>
    <row r="5" spans="1:12" x14ac:dyDescent="0.3">
      <c r="A5" s="4" t="s">
        <v>21</v>
      </c>
      <c r="B5" s="3">
        <v>45904</v>
      </c>
      <c r="C5" s="3" t="s">
        <v>153</v>
      </c>
      <c r="D5" s="2" t="s">
        <v>17</v>
      </c>
      <c r="E5" s="2" t="s">
        <v>121</v>
      </c>
      <c r="F5" s="2" t="s">
        <v>7</v>
      </c>
      <c r="G5" s="2">
        <v>180</v>
      </c>
      <c r="H5" s="2">
        <v>30</v>
      </c>
      <c r="I5" s="2">
        <f t="shared" si="0"/>
        <v>5400</v>
      </c>
      <c r="J5" s="2">
        <v>1500</v>
      </c>
      <c r="K5" s="19">
        <f t="shared" si="1"/>
        <v>0.27777777777777779</v>
      </c>
      <c r="L5" s="5" t="s">
        <v>142</v>
      </c>
    </row>
    <row r="6" spans="1:12" x14ac:dyDescent="0.3">
      <c r="A6" s="4" t="s">
        <v>22</v>
      </c>
      <c r="B6" s="3">
        <v>45905</v>
      </c>
      <c r="C6" s="3" t="s">
        <v>153</v>
      </c>
      <c r="D6" s="2" t="s">
        <v>14</v>
      </c>
      <c r="E6" s="2" t="s">
        <v>122</v>
      </c>
      <c r="F6" s="2" t="s">
        <v>8</v>
      </c>
      <c r="G6" s="2">
        <v>130</v>
      </c>
      <c r="H6" s="2">
        <v>15</v>
      </c>
      <c r="I6" s="2">
        <f t="shared" si="0"/>
        <v>1950</v>
      </c>
      <c r="J6" s="2">
        <v>720</v>
      </c>
      <c r="K6" s="19">
        <f t="shared" si="1"/>
        <v>0.36923076923076925</v>
      </c>
      <c r="L6" s="5" t="s">
        <v>143</v>
      </c>
    </row>
    <row r="7" spans="1:12" x14ac:dyDescent="0.3">
      <c r="A7" s="4" t="s">
        <v>23</v>
      </c>
      <c r="B7" s="3">
        <v>45906</v>
      </c>
      <c r="C7" s="3" t="s">
        <v>153</v>
      </c>
      <c r="D7" s="2" t="s">
        <v>15</v>
      </c>
      <c r="E7" s="2" t="s">
        <v>123</v>
      </c>
      <c r="F7" s="2" t="s">
        <v>9</v>
      </c>
      <c r="G7" s="2">
        <v>160</v>
      </c>
      <c r="H7" s="2">
        <v>22</v>
      </c>
      <c r="I7" s="2">
        <f t="shared" si="0"/>
        <v>3520</v>
      </c>
      <c r="J7" s="2">
        <v>1340</v>
      </c>
      <c r="K7" s="19">
        <f t="shared" si="1"/>
        <v>0.38068181818181818</v>
      </c>
      <c r="L7" s="5" t="s">
        <v>144</v>
      </c>
    </row>
    <row r="8" spans="1:12" x14ac:dyDescent="0.3">
      <c r="A8" s="4" t="s">
        <v>24</v>
      </c>
      <c r="B8" s="3">
        <v>45907</v>
      </c>
      <c r="C8" s="3" t="s">
        <v>153</v>
      </c>
      <c r="D8" s="2" t="s">
        <v>16</v>
      </c>
      <c r="E8" s="2" t="s">
        <v>124</v>
      </c>
      <c r="F8" s="2" t="s">
        <v>10</v>
      </c>
      <c r="G8" s="2">
        <v>220</v>
      </c>
      <c r="H8" s="2">
        <v>40</v>
      </c>
      <c r="I8" s="2">
        <f t="shared" si="0"/>
        <v>8800</v>
      </c>
      <c r="J8" s="2">
        <v>980</v>
      </c>
      <c r="K8" s="19">
        <f t="shared" si="1"/>
        <v>0.11136363636363636</v>
      </c>
      <c r="L8" s="5" t="s">
        <v>145</v>
      </c>
    </row>
    <row r="9" spans="1:12" x14ac:dyDescent="0.3">
      <c r="A9" s="4" t="s">
        <v>25</v>
      </c>
      <c r="B9" s="3">
        <v>45908</v>
      </c>
      <c r="C9" s="3" t="s">
        <v>153</v>
      </c>
      <c r="D9" s="2" t="s">
        <v>17</v>
      </c>
      <c r="E9" s="2" t="s">
        <v>125</v>
      </c>
      <c r="F9" s="2" t="s">
        <v>11</v>
      </c>
      <c r="G9" s="2">
        <v>210</v>
      </c>
      <c r="H9" s="2">
        <v>35</v>
      </c>
      <c r="I9" s="2">
        <f t="shared" si="0"/>
        <v>7350</v>
      </c>
      <c r="J9" s="2">
        <v>560</v>
      </c>
      <c r="K9" s="19">
        <f t="shared" si="1"/>
        <v>7.6190476190476197E-2</v>
      </c>
      <c r="L9" s="5" t="s">
        <v>146</v>
      </c>
    </row>
    <row r="10" spans="1:12" x14ac:dyDescent="0.3">
      <c r="A10" s="4" t="s">
        <v>26</v>
      </c>
      <c r="B10" s="3">
        <v>45909</v>
      </c>
      <c r="C10" s="3" t="s">
        <v>153</v>
      </c>
      <c r="D10" s="2" t="s">
        <v>14</v>
      </c>
      <c r="E10" s="2" t="s">
        <v>126</v>
      </c>
      <c r="F10" s="2" t="s">
        <v>12</v>
      </c>
      <c r="G10" s="2">
        <v>190</v>
      </c>
      <c r="H10" s="2">
        <v>28</v>
      </c>
      <c r="I10" s="2">
        <f t="shared" si="0"/>
        <v>5320</v>
      </c>
      <c r="J10" s="2">
        <v>1780</v>
      </c>
      <c r="K10" s="19">
        <f t="shared" si="1"/>
        <v>0.33458646616541354</v>
      </c>
      <c r="L10" s="5" t="s">
        <v>147</v>
      </c>
    </row>
    <row r="11" spans="1:12" x14ac:dyDescent="0.3">
      <c r="A11" s="4" t="s">
        <v>27</v>
      </c>
      <c r="B11" s="3">
        <v>45910</v>
      </c>
      <c r="C11" s="3" t="s">
        <v>153</v>
      </c>
      <c r="D11" s="2" t="s">
        <v>15</v>
      </c>
      <c r="E11" s="2" t="s">
        <v>127</v>
      </c>
      <c r="F11" s="2" t="s">
        <v>13</v>
      </c>
      <c r="G11" s="2">
        <v>140</v>
      </c>
      <c r="H11" s="2">
        <v>16</v>
      </c>
      <c r="I11" s="2">
        <f t="shared" si="0"/>
        <v>2240</v>
      </c>
      <c r="J11" s="2">
        <v>910</v>
      </c>
      <c r="K11" s="19">
        <f t="shared" si="1"/>
        <v>0.40625</v>
      </c>
      <c r="L11" s="5" t="s">
        <v>148</v>
      </c>
    </row>
    <row r="12" spans="1:12" x14ac:dyDescent="0.3">
      <c r="A12" s="4" t="s">
        <v>28</v>
      </c>
      <c r="B12" s="3">
        <v>45911</v>
      </c>
      <c r="C12" s="3" t="s">
        <v>153</v>
      </c>
      <c r="D12" s="2" t="s">
        <v>16</v>
      </c>
      <c r="E12" s="2" t="s">
        <v>118</v>
      </c>
      <c r="F12" s="2" t="s">
        <v>4</v>
      </c>
      <c r="G12" s="2">
        <v>155</v>
      </c>
      <c r="H12" s="2">
        <v>20</v>
      </c>
      <c r="I12" s="2">
        <f t="shared" si="0"/>
        <v>3100</v>
      </c>
      <c r="J12" s="2">
        <v>1530</v>
      </c>
      <c r="K12" s="19">
        <f t="shared" si="1"/>
        <v>0.49354838709677418</v>
      </c>
      <c r="L12" s="5" t="s">
        <v>139</v>
      </c>
    </row>
    <row r="13" spans="1:12" x14ac:dyDescent="0.3">
      <c r="A13" s="4" t="s">
        <v>29</v>
      </c>
      <c r="B13" s="3">
        <v>45912</v>
      </c>
      <c r="C13" s="3" t="s">
        <v>153</v>
      </c>
      <c r="D13" s="2" t="s">
        <v>17</v>
      </c>
      <c r="E13" s="2" t="s">
        <v>119</v>
      </c>
      <c r="F13" s="2" t="s">
        <v>5</v>
      </c>
      <c r="G13" s="2">
        <v>175</v>
      </c>
      <c r="H13" s="2">
        <v>24</v>
      </c>
      <c r="I13" s="2">
        <f t="shared" si="0"/>
        <v>4200</v>
      </c>
      <c r="J13" s="2">
        <v>900</v>
      </c>
      <c r="K13" s="19">
        <f t="shared" si="1"/>
        <v>0.21428571428571427</v>
      </c>
      <c r="L13" s="5" t="s">
        <v>140</v>
      </c>
    </row>
    <row r="14" spans="1:12" x14ac:dyDescent="0.3">
      <c r="A14" s="4" t="s">
        <v>30</v>
      </c>
      <c r="B14" s="3">
        <v>45913</v>
      </c>
      <c r="C14" s="3" t="s">
        <v>153</v>
      </c>
      <c r="D14" s="2" t="s">
        <v>14</v>
      </c>
      <c r="E14" s="2" t="s">
        <v>120</v>
      </c>
      <c r="F14" s="2" t="s">
        <v>6</v>
      </c>
      <c r="G14" s="2">
        <v>205</v>
      </c>
      <c r="H14" s="2">
        <v>32</v>
      </c>
      <c r="I14" s="2">
        <f t="shared" si="0"/>
        <v>6560</v>
      </c>
      <c r="J14" s="2">
        <v>820</v>
      </c>
      <c r="K14" s="19">
        <f t="shared" si="1"/>
        <v>0.125</v>
      </c>
      <c r="L14" s="5" t="s">
        <v>141</v>
      </c>
    </row>
    <row r="15" spans="1:12" x14ac:dyDescent="0.3">
      <c r="A15" s="4" t="s">
        <v>31</v>
      </c>
      <c r="B15" s="3">
        <v>45914</v>
      </c>
      <c r="C15" s="3" t="s">
        <v>153</v>
      </c>
      <c r="D15" s="2" t="s">
        <v>15</v>
      </c>
      <c r="E15" s="2" t="s">
        <v>121</v>
      </c>
      <c r="F15" s="2" t="s">
        <v>7</v>
      </c>
      <c r="G15" s="2">
        <v>125</v>
      </c>
      <c r="H15" s="2">
        <v>14</v>
      </c>
      <c r="I15" s="2">
        <f t="shared" si="0"/>
        <v>1750</v>
      </c>
      <c r="J15" s="2">
        <v>1090</v>
      </c>
      <c r="K15" s="19">
        <f t="shared" si="1"/>
        <v>0.62285714285714289</v>
      </c>
      <c r="L15" s="5" t="s">
        <v>142</v>
      </c>
    </row>
    <row r="16" spans="1:12" x14ac:dyDescent="0.3">
      <c r="A16" s="4" t="s">
        <v>32</v>
      </c>
      <c r="B16" s="3">
        <v>45915</v>
      </c>
      <c r="C16" s="3" t="s">
        <v>153</v>
      </c>
      <c r="D16" s="2" t="s">
        <v>16</v>
      </c>
      <c r="E16" s="2" t="s">
        <v>122</v>
      </c>
      <c r="F16" s="2" t="s">
        <v>8</v>
      </c>
      <c r="G16" s="2">
        <v>165</v>
      </c>
      <c r="H16" s="2">
        <v>19</v>
      </c>
      <c r="I16" s="2">
        <f t="shared" si="0"/>
        <v>3135</v>
      </c>
      <c r="J16" s="2">
        <v>1430</v>
      </c>
      <c r="K16" s="19">
        <f t="shared" si="1"/>
        <v>0.45614035087719296</v>
      </c>
      <c r="L16" s="5" t="s">
        <v>143</v>
      </c>
    </row>
    <row r="17" spans="1:12" x14ac:dyDescent="0.3">
      <c r="A17" s="4" t="s">
        <v>33</v>
      </c>
      <c r="B17" s="3">
        <v>45916</v>
      </c>
      <c r="C17" s="3" t="s">
        <v>153</v>
      </c>
      <c r="D17" s="2" t="s">
        <v>17</v>
      </c>
      <c r="E17" s="2" t="s">
        <v>123</v>
      </c>
      <c r="F17" s="2" t="s">
        <v>9</v>
      </c>
      <c r="G17" s="2">
        <v>195</v>
      </c>
      <c r="H17" s="2">
        <v>27</v>
      </c>
      <c r="I17" s="2">
        <f t="shared" si="0"/>
        <v>5265</v>
      </c>
      <c r="J17" s="2">
        <v>770</v>
      </c>
      <c r="K17" s="19">
        <f t="shared" si="1"/>
        <v>0.14624881291547959</v>
      </c>
      <c r="L17" s="5" t="s">
        <v>144</v>
      </c>
    </row>
    <row r="18" spans="1:12" x14ac:dyDescent="0.3">
      <c r="A18" s="4" t="s">
        <v>34</v>
      </c>
      <c r="B18" s="3">
        <v>45917</v>
      </c>
      <c r="C18" s="3" t="s">
        <v>153</v>
      </c>
      <c r="D18" s="2" t="s">
        <v>14</v>
      </c>
      <c r="E18" s="2" t="s">
        <v>124</v>
      </c>
      <c r="F18" s="2" t="s">
        <v>10</v>
      </c>
      <c r="G18" s="2">
        <v>230</v>
      </c>
      <c r="H18" s="2">
        <v>36</v>
      </c>
      <c r="I18" s="2">
        <f t="shared" si="0"/>
        <v>8280</v>
      </c>
      <c r="J18" s="2">
        <v>920</v>
      </c>
      <c r="K18" s="19">
        <f t="shared" si="1"/>
        <v>0.1111111111111111</v>
      </c>
      <c r="L18" s="5" t="s">
        <v>145</v>
      </c>
    </row>
    <row r="19" spans="1:12" x14ac:dyDescent="0.3">
      <c r="A19" s="4" t="s">
        <v>35</v>
      </c>
      <c r="B19" s="3">
        <v>45918</v>
      </c>
      <c r="C19" s="3" t="s">
        <v>153</v>
      </c>
      <c r="D19" s="2" t="s">
        <v>15</v>
      </c>
      <c r="E19" s="2" t="s">
        <v>125</v>
      </c>
      <c r="F19" s="2" t="s">
        <v>11</v>
      </c>
      <c r="G19" s="2">
        <v>170</v>
      </c>
      <c r="H19" s="2">
        <v>21</v>
      </c>
      <c r="I19" s="2">
        <f t="shared" si="0"/>
        <v>3570</v>
      </c>
      <c r="J19" s="2">
        <v>1560</v>
      </c>
      <c r="K19" s="19">
        <f t="shared" si="1"/>
        <v>0.43697478991596639</v>
      </c>
      <c r="L19" s="5" t="s">
        <v>146</v>
      </c>
    </row>
    <row r="20" spans="1:12" x14ac:dyDescent="0.3">
      <c r="A20" s="4" t="s">
        <v>36</v>
      </c>
      <c r="B20" s="3">
        <v>45919</v>
      </c>
      <c r="C20" s="3" t="s">
        <v>153</v>
      </c>
      <c r="D20" s="2" t="s">
        <v>16</v>
      </c>
      <c r="E20" s="2" t="s">
        <v>126</v>
      </c>
      <c r="F20" s="2" t="s">
        <v>12</v>
      </c>
      <c r="G20" s="2">
        <v>145</v>
      </c>
      <c r="H20" s="2">
        <v>17</v>
      </c>
      <c r="I20" s="2">
        <f t="shared" si="0"/>
        <v>2465</v>
      </c>
      <c r="J20" s="2">
        <v>690</v>
      </c>
      <c r="K20" s="19">
        <f t="shared" si="1"/>
        <v>0.27991886409736311</v>
      </c>
      <c r="L20" s="5" t="s">
        <v>147</v>
      </c>
    </row>
    <row r="21" spans="1:12" x14ac:dyDescent="0.3">
      <c r="A21" s="4" t="s">
        <v>37</v>
      </c>
      <c r="B21" s="3">
        <v>45920</v>
      </c>
      <c r="C21" s="3" t="s">
        <v>153</v>
      </c>
      <c r="D21" s="2" t="s">
        <v>17</v>
      </c>
      <c r="E21" s="2" t="s">
        <v>127</v>
      </c>
      <c r="F21" s="2" t="s">
        <v>13</v>
      </c>
      <c r="G21" s="2">
        <v>185</v>
      </c>
      <c r="H21" s="2">
        <v>29</v>
      </c>
      <c r="I21" s="2">
        <f t="shared" si="0"/>
        <v>5365</v>
      </c>
      <c r="J21" s="2">
        <v>880</v>
      </c>
      <c r="K21" s="19">
        <f t="shared" si="1"/>
        <v>0.16402609506057783</v>
      </c>
      <c r="L21" s="5" t="s">
        <v>148</v>
      </c>
    </row>
    <row r="22" spans="1:12" x14ac:dyDescent="0.3">
      <c r="A22" s="4" t="s">
        <v>38</v>
      </c>
      <c r="B22" s="3">
        <v>45921</v>
      </c>
      <c r="C22" s="3" t="s">
        <v>153</v>
      </c>
      <c r="D22" s="2" t="s">
        <v>14</v>
      </c>
      <c r="E22" s="2" t="s">
        <v>118</v>
      </c>
      <c r="F22" s="2" t="s">
        <v>4</v>
      </c>
      <c r="G22" s="2">
        <v>215</v>
      </c>
      <c r="H22" s="2">
        <v>31</v>
      </c>
      <c r="I22" s="2">
        <f t="shared" si="0"/>
        <v>6665</v>
      </c>
      <c r="J22" s="2">
        <v>1320</v>
      </c>
      <c r="K22" s="19">
        <f t="shared" si="1"/>
        <v>0.19804951237809451</v>
      </c>
      <c r="L22" s="5" t="s">
        <v>139</v>
      </c>
    </row>
    <row r="23" spans="1:12" x14ac:dyDescent="0.3">
      <c r="A23" s="4" t="s">
        <v>39</v>
      </c>
      <c r="B23" s="3">
        <v>45922</v>
      </c>
      <c r="C23" s="3" t="s">
        <v>153</v>
      </c>
      <c r="D23" s="2" t="s">
        <v>15</v>
      </c>
      <c r="E23" s="2" t="s">
        <v>119</v>
      </c>
      <c r="F23" s="2" t="s">
        <v>5</v>
      </c>
      <c r="G23" s="2">
        <v>160</v>
      </c>
      <c r="H23" s="2">
        <v>26</v>
      </c>
      <c r="I23" s="2">
        <f t="shared" si="0"/>
        <v>4160</v>
      </c>
      <c r="J23" s="2">
        <v>640</v>
      </c>
      <c r="K23" s="19">
        <f t="shared" si="1"/>
        <v>0.15384615384615385</v>
      </c>
      <c r="L23" s="5" t="s">
        <v>140</v>
      </c>
    </row>
    <row r="24" spans="1:12" x14ac:dyDescent="0.3">
      <c r="A24" s="4" t="s">
        <v>40</v>
      </c>
      <c r="B24" s="3">
        <v>45923</v>
      </c>
      <c r="C24" s="3" t="s">
        <v>153</v>
      </c>
      <c r="D24" s="2" t="s">
        <v>16</v>
      </c>
      <c r="E24" s="2" t="s">
        <v>120</v>
      </c>
      <c r="F24" s="2" t="s">
        <v>6</v>
      </c>
      <c r="G24" s="2">
        <v>240</v>
      </c>
      <c r="H24" s="2">
        <v>38</v>
      </c>
      <c r="I24" s="2">
        <f t="shared" si="0"/>
        <v>9120</v>
      </c>
      <c r="J24" s="2">
        <v>1010</v>
      </c>
      <c r="K24" s="19">
        <f t="shared" si="1"/>
        <v>0.11074561403508772</v>
      </c>
      <c r="L24" s="5" t="s">
        <v>141</v>
      </c>
    </row>
    <row r="25" spans="1:12" x14ac:dyDescent="0.3">
      <c r="A25" s="4" t="s">
        <v>41</v>
      </c>
      <c r="B25" s="3">
        <v>45924</v>
      </c>
      <c r="C25" s="3" t="s">
        <v>153</v>
      </c>
      <c r="D25" s="2" t="s">
        <v>17</v>
      </c>
      <c r="E25" s="2" t="s">
        <v>121</v>
      </c>
      <c r="F25" s="2" t="s">
        <v>7</v>
      </c>
      <c r="G25" s="2">
        <v>150</v>
      </c>
      <c r="H25" s="2">
        <v>23</v>
      </c>
      <c r="I25" s="2">
        <f t="shared" si="0"/>
        <v>3450</v>
      </c>
      <c r="J25" s="2">
        <v>1180</v>
      </c>
      <c r="K25" s="19">
        <f t="shared" si="1"/>
        <v>0.34202898550724636</v>
      </c>
      <c r="L25" s="5" t="s">
        <v>142</v>
      </c>
    </row>
    <row r="26" spans="1:12" x14ac:dyDescent="0.3">
      <c r="A26" s="4" t="s">
        <v>42</v>
      </c>
      <c r="B26" s="3">
        <v>45925</v>
      </c>
      <c r="C26" s="3" t="s">
        <v>153</v>
      </c>
      <c r="D26" s="2" t="s">
        <v>14</v>
      </c>
      <c r="E26" s="2" t="s">
        <v>122</v>
      </c>
      <c r="F26" s="2" t="s">
        <v>8</v>
      </c>
      <c r="G26" s="2">
        <v>135</v>
      </c>
      <c r="H26" s="2">
        <v>11</v>
      </c>
      <c r="I26" s="2">
        <f t="shared" si="0"/>
        <v>1485</v>
      </c>
      <c r="J26" s="2">
        <v>540</v>
      </c>
      <c r="K26" s="19">
        <f t="shared" si="1"/>
        <v>0.36363636363636365</v>
      </c>
      <c r="L26" s="5" t="s">
        <v>143</v>
      </c>
    </row>
    <row r="27" spans="1:12" x14ac:dyDescent="0.3">
      <c r="A27" s="4" t="s">
        <v>43</v>
      </c>
      <c r="B27" s="3">
        <v>45926</v>
      </c>
      <c r="C27" s="3" t="s">
        <v>153</v>
      </c>
      <c r="D27" s="2" t="s">
        <v>15</v>
      </c>
      <c r="E27" s="2" t="s">
        <v>123</v>
      </c>
      <c r="F27" s="2" t="s">
        <v>9</v>
      </c>
      <c r="G27" s="2">
        <v>225</v>
      </c>
      <c r="H27" s="2">
        <v>34</v>
      </c>
      <c r="I27" s="2">
        <f t="shared" si="0"/>
        <v>7650</v>
      </c>
      <c r="J27" s="2">
        <v>1670</v>
      </c>
      <c r="K27" s="19">
        <f t="shared" si="1"/>
        <v>0.21830065359477124</v>
      </c>
      <c r="L27" s="5" t="s">
        <v>144</v>
      </c>
    </row>
    <row r="28" spans="1:12" x14ac:dyDescent="0.3">
      <c r="A28" s="4" t="s">
        <v>44</v>
      </c>
      <c r="B28" s="3">
        <v>45927</v>
      </c>
      <c r="C28" s="3" t="s">
        <v>153</v>
      </c>
      <c r="D28" s="2" t="s">
        <v>16</v>
      </c>
      <c r="E28" s="2" t="s">
        <v>124</v>
      </c>
      <c r="F28" s="2" t="s">
        <v>10</v>
      </c>
      <c r="G28" s="2">
        <v>260</v>
      </c>
      <c r="H28" s="2">
        <v>45</v>
      </c>
      <c r="I28" s="2">
        <f t="shared" si="0"/>
        <v>11700</v>
      </c>
      <c r="J28" s="2">
        <v>890</v>
      </c>
      <c r="K28" s="19">
        <f t="shared" si="1"/>
        <v>7.6068376068376062E-2</v>
      </c>
      <c r="L28" s="5" t="s">
        <v>145</v>
      </c>
    </row>
    <row r="29" spans="1:12" x14ac:dyDescent="0.3">
      <c r="A29" s="4" t="s">
        <v>45</v>
      </c>
      <c r="B29" s="3">
        <v>45928</v>
      </c>
      <c r="C29" s="3" t="s">
        <v>153</v>
      </c>
      <c r="D29" s="2" t="s">
        <v>17</v>
      </c>
      <c r="E29" s="2" t="s">
        <v>125</v>
      </c>
      <c r="F29" s="2" t="s">
        <v>11</v>
      </c>
      <c r="G29" s="2">
        <v>140</v>
      </c>
      <c r="H29" s="2">
        <v>13</v>
      </c>
      <c r="I29" s="2">
        <f t="shared" si="0"/>
        <v>1820</v>
      </c>
      <c r="J29" s="2">
        <v>760</v>
      </c>
      <c r="K29" s="19">
        <f t="shared" si="1"/>
        <v>0.4175824175824176</v>
      </c>
      <c r="L29" s="5" t="s">
        <v>146</v>
      </c>
    </row>
    <row r="30" spans="1:12" x14ac:dyDescent="0.3">
      <c r="A30" s="4" t="s">
        <v>46</v>
      </c>
      <c r="B30" s="3">
        <v>45929</v>
      </c>
      <c r="C30" s="3" t="s">
        <v>153</v>
      </c>
      <c r="D30" s="2" t="s">
        <v>14</v>
      </c>
      <c r="E30" s="2" t="s">
        <v>126</v>
      </c>
      <c r="F30" s="2" t="s">
        <v>12</v>
      </c>
      <c r="G30" s="2">
        <v>195</v>
      </c>
      <c r="H30" s="2">
        <v>28</v>
      </c>
      <c r="I30" s="2">
        <f t="shared" si="0"/>
        <v>5460</v>
      </c>
      <c r="J30" s="2">
        <v>1250</v>
      </c>
      <c r="K30" s="19">
        <f t="shared" si="1"/>
        <v>0.22893772893772893</v>
      </c>
      <c r="L30" s="5" t="s">
        <v>147</v>
      </c>
    </row>
    <row r="31" spans="1:12" x14ac:dyDescent="0.3">
      <c r="A31" s="4" t="s">
        <v>47</v>
      </c>
      <c r="B31" s="3">
        <v>45930</v>
      </c>
      <c r="C31" s="3" t="s">
        <v>153</v>
      </c>
      <c r="D31" s="2" t="s">
        <v>15</v>
      </c>
      <c r="E31" s="2" t="s">
        <v>127</v>
      </c>
      <c r="F31" s="2" t="s">
        <v>13</v>
      </c>
      <c r="G31" s="2">
        <v>170</v>
      </c>
      <c r="H31" s="2">
        <v>20</v>
      </c>
      <c r="I31" s="2">
        <f t="shared" si="0"/>
        <v>3400</v>
      </c>
      <c r="J31" s="2">
        <v>940</v>
      </c>
      <c r="K31" s="19">
        <f t="shared" si="1"/>
        <v>0.27647058823529413</v>
      </c>
      <c r="L31" s="5" t="s">
        <v>148</v>
      </c>
    </row>
    <row r="32" spans="1:12" x14ac:dyDescent="0.3">
      <c r="A32" s="4" t="s">
        <v>48</v>
      </c>
      <c r="B32" s="3">
        <v>45931</v>
      </c>
      <c r="C32" s="3" t="s">
        <v>135</v>
      </c>
      <c r="D32" s="2" t="s">
        <v>16</v>
      </c>
      <c r="E32" s="2" t="s">
        <v>118</v>
      </c>
      <c r="F32" s="2" t="s">
        <v>4</v>
      </c>
      <c r="G32" s="2">
        <v>155</v>
      </c>
      <c r="H32" s="2">
        <v>16</v>
      </c>
      <c r="I32" s="2">
        <f t="shared" si="0"/>
        <v>2480</v>
      </c>
      <c r="J32" s="2">
        <v>610</v>
      </c>
      <c r="K32" s="19">
        <f t="shared" si="1"/>
        <v>0.24596774193548387</v>
      </c>
      <c r="L32" s="5" t="s">
        <v>139</v>
      </c>
    </row>
    <row r="33" spans="1:12" x14ac:dyDescent="0.3">
      <c r="A33" s="4" t="s">
        <v>49</v>
      </c>
      <c r="B33" s="3">
        <v>45932</v>
      </c>
      <c r="C33" s="3" t="s">
        <v>135</v>
      </c>
      <c r="D33" s="2" t="s">
        <v>17</v>
      </c>
      <c r="E33" s="2" t="s">
        <v>119</v>
      </c>
      <c r="F33" s="2" t="s">
        <v>5</v>
      </c>
      <c r="G33" s="2">
        <v>235</v>
      </c>
      <c r="H33" s="2">
        <v>37</v>
      </c>
      <c r="I33" s="2">
        <f t="shared" si="0"/>
        <v>8695</v>
      </c>
      <c r="J33" s="2">
        <v>1490</v>
      </c>
      <c r="K33" s="19">
        <f t="shared" si="1"/>
        <v>0.17136285221391603</v>
      </c>
      <c r="L33" s="5" t="s">
        <v>140</v>
      </c>
    </row>
    <row r="34" spans="1:12" x14ac:dyDescent="0.3">
      <c r="A34" s="4" t="s">
        <v>50</v>
      </c>
      <c r="B34" s="3">
        <v>45933</v>
      </c>
      <c r="C34" s="3" t="s">
        <v>135</v>
      </c>
      <c r="D34" s="2" t="s">
        <v>14</v>
      </c>
      <c r="E34" s="2" t="s">
        <v>120</v>
      </c>
      <c r="F34" s="2" t="s">
        <v>6</v>
      </c>
      <c r="G34" s="2">
        <v>165</v>
      </c>
      <c r="H34" s="2">
        <v>22</v>
      </c>
      <c r="I34" s="2">
        <f t="shared" ref="I34:I65" si="2">H34*G34</f>
        <v>3630</v>
      </c>
      <c r="J34" s="2">
        <v>660</v>
      </c>
      <c r="K34" s="19">
        <f t="shared" si="1"/>
        <v>0.18181818181818182</v>
      </c>
      <c r="L34" s="5" t="s">
        <v>141</v>
      </c>
    </row>
    <row r="35" spans="1:12" x14ac:dyDescent="0.3">
      <c r="A35" s="4" t="s">
        <v>51</v>
      </c>
      <c r="B35" s="3">
        <v>45934</v>
      </c>
      <c r="C35" s="3" t="s">
        <v>135</v>
      </c>
      <c r="D35" s="2" t="s">
        <v>15</v>
      </c>
      <c r="E35" s="2" t="s">
        <v>121</v>
      </c>
      <c r="F35" s="2" t="s">
        <v>7</v>
      </c>
      <c r="G35" s="2">
        <v>250</v>
      </c>
      <c r="H35" s="2">
        <v>41</v>
      </c>
      <c r="I35" s="2">
        <f t="shared" si="2"/>
        <v>10250</v>
      </c>
      <c r="J35" s="2">
        <v>830</v>
      </c>
      <c r="K35" s="19">
        <f t="shared" si="1"/>
        <v>8.0975609756097564E-2</v>
      </c>
      <c r="L35" s="5" t="s">
        <v>142</v>
      </c>
    </row>
    <row r="36" spans="1:12" x14ac:dyDescent="0.3">
      <c r="A36" s="4" t="s">
        <v>52</v>
      </c>
      <c r="B36" s="3">
        <v>45935</v>
      </c>
      <c r="C36" s="3" t="s">
        <v>135</v>
      </c>
      <c r="D36" s="2" t="s">
        <v>16</v>
      </c>
      <c r="E36" s="2" t="s">
        <v>122</v>
      </c>
      <c r="F36" s="2" t="s">
        <v>8</v>
      </c>
      <c r="G36" s="2">
        <v>210</v>
      </c>
      <c r="H36" s="2">
        <v>33</v>
      </c>
      <c r="I36" s="2">
        <f t="shared" si="2"/>
        <v>6930</v>
      </c>
      <c r="J36" s="2">
        <v>970</v>
      </c>
      <c r="K36" s="19">
        <f t="shared" si="1"/>
        <v>0.13997113997113997</v>
      </c>
      <c r="L36" s="5" t="s">
        <v>143</v>
      </c>
    </row>
    <row r="37" spans="1:12" x14ac:dyDescent="0.3">
      <c r="A37" s="4" t="s">
        <v>53</v>
      </c>
      <c r="B37" s="3">
        <v>45936</v>
      </c>
      <c r="C37" s="3" t="s">
        <v>135</v>
      </c>
      <c r="D37" s="2" t="s">
        <v>17</v>
      </c>
      <c r="E37" s="2" t="s">
        <v>123</v>
      </c>
      <c r="F37" s="2" t="s">
        <v>9</v>
      </c>
      <c r="G37" s="2">
        <v>180</v>
      </c>
      <c r="H37" s="2">
        <v>25</v>
      </c>
      <c r="I37" s="2">
        <f t="shared" si="2"/>
        <v>4500</v>
      </c>
      <c r="J37" s="2">
        <v>1120</v>
      </c>
      <c r="K37" s="19">
        <f t="shared" si="1"/>
        <v>0.24888888888888888</v>
      </c>
      <c r="L37" s="5" t="s">
        <v>144</v>
      </c>
    </row>
    <row r="38" spans="1:12" x14ac:dyDescent="0.3">
      <c r="A38" s="4" t="s">
        <v>54</v>
      </c>
      <c r="B38" s="3">
        <v>45937</v>
      </c>
      <c r="C38" s="3" t="s">
        <v>135</v>
      </c>
      <c r="D38" s="2" t="s">
        <v>14</v>
      </c>
      <c r="E38" s="2" t="s">
        <v>124</v>
      </c>
      <c r="F38" s="2" t="s">
        <v>10</v>
      </c>
      <c r="G38" s="2">
        <v>150</v>
      </c>
      <c r="H38" s="2">
        <v>18</v>
      </c>
      <c r="I38" s="2">
        <f t="shared" si="2"/>
        <v>2700</v>
      </c>
      <c r="J38" s="2">
        <v>680</v>
      </c>
      <c r="K38" s="19">
        <f t="shared" si="1"/>
        <v>0.25185185185185183</v>
      </c>
      <c r="L38" s="5" t="s">
        <v>145</v>
      </c>
    </row>
    <row r="39" spans="1:12" x14ac:dyDescent="0.3">
      <c r="A39" s="4" t="s">
        <v>55</v>
      </c>
      <c r="B39" s="3">
        <v>45938</v>
      </c>
      <c r="C39" s="3" t="s">
        <v>135</v>
      </c>
      <c r="D39" s="2" t="s">
        <v>15</v>
      </c>
      <c r="E39" s="2" t="s">
        <v>125</v>
      </c>
      <c r="F39" s="2" t="s">
        <v>11</v>
      </c>
      <c r="G39" s="2">
        <v>200</v>
      </c>
      <c r="H39" s="2">
        <v>30</v>
      </c>
      <c r="I39" s="2">
        <f t="shared" si="2"/>
        <v>6000</v>
      </c>
      <c r="J39" s="2">
        <v>1540</v>
      </c>
      <c r="K39" s="19">
        <f t="shared" si="1"/>
        <v>0.25666666666666665</v>
      </c>
      <c r="L39" s="5" t="s">
        <v>146</v>
      </c>
    </row>
    <row r="40" spans="1:12" x14ac:dyDescent="0.3">
      <c r="A40" s="4" t="s">
        <v>56</v>
      </c>
      <c r="B40" s="3">
        <v>45939</v>
      </c>
      <c r="C40" s="3" t="s">
        <v>135</v>
      </c>
      <c r="D40" s="2" t="s">
        <v>16</v>
      </c>
      <c r="E40" s="2" t="s">
        <v>126</v>
      </c>
      <c r="F40" s="2" t="s">
        <v>12</v>
      </c>
      <c r="G40" s="2">
        <v>190</v>
      </c>
      <c r="H40" s="2">
        <v>29</v>
      </c>
      <c r="I40" s="2">
        <f t="shared" si="2"/>
        <v>5510</v>
      </c>
      <c r="J40" s="2">
        <v>720</v>
      </c>
      <c r="K40" s="19">
        <f t="shared" si="1"/>
        <v>0.1306715063520871</v>
      </c>
      <c r="L40" s="5" t="s">
        <v>147</v>
      </c>
    </row>
    <row r="41" spans="1:12" x14ac:dyDescent="0.3">
      <c r="A41" s="4" t="s">
        <v>57</v>
      </c>
      <c r="B41" s="3">
        <v>45940</v>
      </c>
      <c r="C41" s="3" t="s">
        <v>135</v>
      </c>
      <c r="D41" s="2" t="s">
        <v>17</v>
      </c>
      <c r="E41" s="2" t="s">
        <v>127</v>
      </c>
      <c r="F41" s="2" t="s">
        <v>13</v>
      </c>
      <c r="G41" s="2">
        <v>135</v>
      </c>
      <c r="H41" s="2">
        <v>14</v>
      </c>
      <c r="I41" s="2">
        <f t="shared" si="2"/>
        <v>1890</v>
      </c>
      <c r="J41" s="2">
        <v>860</v>
      </c>
      <c r="K41" s="19">
        <f t="shared" si="1"/>
        <v>0.455026455026455</v>
      </c>
      <c r="L41" s="5" t="s">
        <v>148</v>
      </c>
    </row>
    <row r="42" spans="1:12" x14ac:dyDescent="0.3">
      <c r="A42" s="4" t="s">
        <v>58</v>
      </c>
      <c r="B42" s="3">
        <v>45941</v>
      </c>
      <c r="C42" s="3" t="s">
        <v>135</v>
      </c>
      <c r="D42" s="2" t="s">
        <v>14</v>
      </c>
      <c r="E42" s="2" t="s">
        <v>118</v>
      </c>
      <c r="F42" s="2" t="s">
        <v>4</v>
      </c>
      <c r="G42" s="2">
        <v>175</v>
      </c>
      <c r="H42" s="2">
        <v>27</v>
      </c>
      <c r="I42" s="2">
        <f t="shared" si="2"/>
        <v>4725</v>
      </c>
      <c r="J42" s="2">
        <v>1380</v>
      </c>
      <c r="K42" s="19">
        <f t="shared" si="1"/>
        <v>0.29206349206349208</v>
      </c>
      <c r="L42" s="5" t="s">
        <v>139</v>
      </c>
    </row>
    <row r="43" spans="1:12" x14ac:dyDescent="0.3">
      <c r="A43" s="4" t="s">
        <v>59</v>
      </c>
      <c r="B43" s="3">
        <v>45942</v>
      </c>
      <c r="C43" s="3" t="s">
        <v>135</v>
      </c>
      <c r="D43" s="2" t="s">
        <v>15</v>
      </c>
      <c r="E43" s="2" t="s">
        <v>119</v>
      </c>
      <c r="F43" s="2" t="s">
        <v>5</v>
      </c>
      <c r="G43" s="2">
        <v>220</v>
      </c>
      <c r="H43" s="2">
        <v>35</v>
      </c>
      <c r="I43" s="2">
        <f t="shared" si="2"/>
        <v>7700</v>
      </c>
      <c r="J43" s="2">
        <v>990</v>
      </c>
      <c r="K43" s="19">
        <f t="shared" si="1"/>
        <v>0.12857142857142856</v>
      </c>
      <c r="L43" s="5" t="s">
        <v>140</v>
      </c>
    </row>
    <row r="44" spans="1:12" x14ac:dyDescent="0.3">
      <c r="A44" s="4" t="s">
        <v>60</v>
      </c>
      <c r="B44" s="3">
        <v>45943</v>
      </c>
      <c r="C44" s="3" t="s">
        <v>135</v>
      </c>
      <c r="D44" s="2" t="s">
        <v>16</v>
      </c>
      <c r="E44" s="2" t="s">
        <v>120</v>
      </c>
      <c r="F44" s="2" t="s">
        <v>6</v>
      </c>
      <c r="G44" s="2">
        <v>160</v>
      </c>
      <c r="H44" s="2">
        <v>19</v>
      </c>
      <c r="I44" s="2">
        <f t="shared" si="2"/>
        <v>3040</v>
      </c>
      <c r="J44" s="2">
        <v>580</v>
      </c>
      <c r="K44" s="19">
        <f t="shared" si="1"/>
        <v>0.19078947368421054</v>
      </c>
      <c r="L44" s="5" t="s">
        <v>141</v>
      </c>
    </row>
    <row r="45" spans="1:12" x14ac:dyDescent="0.3">
      <c r="A45" s="4" t="s">
        <v>61</v>
      </c>
      <c r="B45" s="3">
        <v>45944</v>
      </c>
      <c r="C45" s="3" t="s">
        <v>135</v>
      </c>
      <c r="D45" s="2" t="s">
        <v>17</v>
      </c>
      <c r="E45" s="2" t="s">
        <v>121</v>
      </c>
      <c r="F45" s="2" t="s">
        <v>7</v>
      </c>
      <c r="G45" s="2">
        <v>185</v>
      </c>
      <c r="H45" s="2">
        <v>24</v>
      </c>
      <c r="I45" s="2">
        <f t="shared" si="2"/>
        <v>4440</v>
      </c>
      <c r="J45" s="2">
        <v>1190</v>
      </c>
      <c r="K45" s="19">
        <f t="shared" si="1"/>
        <v>0.268018018018018</v>
      </c>
      <c r="L45" s="5" t="s">
        <v>142</v>
      </c>
    </row>
    <row r="46" spans="1:12" x14ac:dyDescent="0.3">
      <c r="A46" s="4" t="s">
        <v>62</v>
      </c>
      <c r="B46" s="3">
        <v>45945</v>
      </c>
      <c r="C46" s="3" t="s">
        <v>135</v>
      </c>
      <c r="D46" s="2" t="s">
        <v>14</v>
      </c>
      <c r="E46" s="2" t="s">
        <v>122</v>
      </c>
      <c r="F46" s="2" t="s">
        <v>8</v>
      </c>
      <c r="G46" s="2">
        <v>205</v>
      </c>
      <c r="H46" s="2">
        <v>32</v>
      </c>
      <c r="I46" s="2">
        <f t="shared" si="2"/>
        <v>6560</v>
      </c>
      <c r="J46" s="2">
        <v>1210</v>
      </c>
      <c r="K46" s="19">
        <f t="shared" si="1"/>
        <v>0.18445121951219512</v>
      </c>
      <c r="L46" s="5" t="s">
        <v>143</v>
      </c>
    </row>
    <row r="47" spans="1:12" x14ac:dyDescent="0.3">
      <c r="A47" s="4" t="s">
        <v>63</v>
      </c>
      <c r="B47" s="3">
        <v>45946</v>
      </c>
      <c r="C47" s="3" t="s">
        <v>135</v>
      </c>
      <c r="D47" s="2" t="s">
        <v>15</v>
      </c>
      <c r="E47" s="2" t="s">
        <v>123</v>
      </c>
      <c r="F47" s="2" t="s">
        <v>9</v>
      </c>
      <c r="G47" s="2">
        <v>170</v>
      </c>
      <c r="H47" s="2">
        <v>21</v>
      </c>
      <c r="I47" s="2">
        <f t="shared" si="2"/>
        <v>3570</v>
      </c>
      <c r="J47" s="2">
        <v>910</v>
      </c>
      <c r="K47" s="19">
        <f t="shared" si="1"/>
        <v>0.25490196078431371</v>
      </c>
      <c r="L47" s="5" t="s">
        <v>144</v>
      </c>
    </row>
    <row r="48" spans="1:12" x14ac:dyDescent="0.3">
      <c r="A48" s="4" t="s">
        <v>64</v>
      </c>
      <c r="B48" s="3">
        <v>45947</v>
      </c>
      <c r="C48" s="3" t="s">
        <v>135</v>
      </c>
      <c r="D48" s="2" t="s">
        <v>16</v>
      </c>
      <c r="E48" s="2" t="s">
        <v>124</v>
      </c>
      <c r="F48" s="2" t="s">
        <v>10</v>
      </c>
      <c r="G48" s="2">
        <v>145</v>
      </c>
      <c r="H48" s="2">
        <v>17</v>
      </c>
      <c r="I48" s="2">
        <f t="shared" si="2"/>
        <v>2465</v>
      </c>
      <c r="J48" s="2">
        <v>760</v>
      </c>
      <c r="K48" s="19">
        <f t="shared" si="1"/>
        <v>0.30831643002028397</v>
      </c>
      <c r="L48" s="5" t="s">
        <v>145</v>
      </c>
    </row>
    <row r="49" spans="1:12" x14ac:dyDescent="0.3">
      <c r="A49" s="4" t="s">
        <v>65</v>
      </c>
      <c r="B49" s="3">
        <v>45948</v>
      </c>
      <c r="C49" s="3" t="s">
        <v>135</v>
      </c>
      <c r="D49" s="2" t="s">
        <v>17</v>
      </c>
      <c r="E49" s="2" t="s">
        <v>125</v>
      </c>
      <c r="F49" s="2" t="s">
        <v>11</v>
      </c>
      <c r="G49" s="2">
        <v>180</v>
      </c>
      <c r="H49" s="2">
        <v>26</v>
      </c>
      <c r="I49" s="2">
        <f t="shared" si="2"/>
        <v>4680</v>
      </c>
      <c r="J49" s="2">
        <v>1680</v>
      </c>
      <c r="K49" s="19">
        <f t="shared" si="1"/>
        <v>0.35897435897435898</v>
      </c>
      <c r="L49" s="5" t="s">
        <v>146</v>
      </c>
    </row>
    <row r="50" spans="1:12" x14ac:dyDescent="0.3">
      <c r="A50" s="4" t="s">
        <v>66</v>
      </c>
      <c r="B50" s="3">
        <v>45949</v>
      </c>
      <c r="C50" s="3" t="s">
        <v>135</v>
      </c>
      <c r="D50" s="2" t="s">
        <v>14</v>
      </c>
      <c r="E50" s="2" t="s">
        <v>126</v>
      </c>
      <c r="F50" s="2" t="s">
        <v>12</v>
      </c>
      <c r="G50" s="2">
        <v>240</v>
      </c>
      <c r="H50" s="2">
        <v>39</v>
      </c>
      <c r="I50" s="2">
        <f t="shared" si="2"/>
        <v>9360</v>
      </c>
      <c r="J50" s="2">
        <v>820</v>
      </c>
      <c r="K50" s="19">
        <f t="shared" si="1"/>
        <v>8.7606837606837601E-2</v>
      </c>
      <c r="L50" s="5" t="s">
        <v>147</v>
      </c>
    </row>
    <row r="51" spans="1:12" x14ac:dyDescent="0.3">
      <c r="A51" s="4" t="s">
        <v>67</v>
      </c>
      <c r="B51" s="3">
        <v>45950</v>
      </c>
      <c r="C51" s="3" t="s">
        <v>135</v>
      </c>
      <c r="D51" s="2" t="s">
        <v>15</v>
      </c>
      <c r="E51" s="2" t="s">
        <v>127</v>
      </c>
      <c r="F51" s="2" t="s">
        <v>13</v>
      </c>
      <c r="G51" s="2">
        <v>155</v>
      </c>
      <c r="H51" s="2">
        <v>15</v>
      </c>
      <c r="I51" s="2">
        <f t="shared" si="2"/>
        <v>2325</v>
      </c>
      <c r="J51" s="2">
        <v>1340</v>
      </c>
      <c r="K51" s="19">
        <f t="shared" si="1"/>
        <v>0.57634408602150533</v>
      </c>
      <c r="L51" s="5" t="s">
        <v>148</v>
      </c>
    </row>
    <row r="52" spans="1:12" x14ac:dyDescent="0.3">
      <c r="A52" s="4" t="s">
        <v>68</v>
      </c>
      <c r="B52" s="3">
        <v>45951</v>
      </c>
      <c r="C52" s="3" t="s">
        <v>135</v>
      </c>
      <c r="D52" s="2" t="s">
        <v>16</v>
      </c>
      <c r="E52" s="2" t="s">
        <v>118</v>
      </c>
      <c r="F52" s="2" t="s">
        <v>4</v>
      </c>
      <c r="G52" s="2">
        <v>165</v>
      </c>
      <c r="H52" s="2">
        <v>20</v>
      </c>
      <c r="I52" s="2">
        <f t="shared" si="2"/>
        <v>3300</v>
      </c>
      <c r="J52" s="2">
        <v>690</v>
      </c>
      <c r="K52" s="19">
        <f t="shared" si="1"/>
        <v>0.20909090909090908</v>
      </c>
      <c r="L52" s="5" t="s">
        <v>139</v>
      </c>
    </row>
    <row r="53" spans="1:12" x14ac:dyDescent="0.3">
      <c r="A53" s="4" t="s">
        <v>69</v>
      </c>
      <c r="B53" s="3">
        <v>45952</v>
      </c>
      <c r="C53" s="3" t="s">
        <v>135</v>
      </c>
      <c r="D53" s="2" t="s">
        <v>17</v>
      </c>
      <c r="E53" s="2" t="s">
        <v>119</v>
      </c>
      <c r="F53" s="2" t="s">
        <v>5</v>
      </c>
      <c r="G53" s="2">
        <v>225</v>
      </c>
      <c r="H53" s="2">
        <v>34</v>
      </c>
      <c r="I53" s="2">
        <f t="shared" si="2"/>
        <v>7650</v>
      </c>
      <c r="J53" s="2">
        <v>1050</v>
      </c>
      <c r="K53" s="19">
        <f t="shared" si="1"/>
        <v>0.13725490196078433</v>
      </c>
      <c r="L53" s="5" t="s">
        <v>140</v>
      </c>
    </row>
    <row r="54" spans="1:12" x14ac:dyDescent="0.3">
      <c r="A54" s="4" t="s">
        <v>70</v>
      </c>
      <c r="B54" s="3">
        <v>45953</v>
      </c>
      <c r="C54" s="3" t="s">
        <v>135</v>
      </c>
      <c r="D54" s="2" t="s">
        <v>14</v>
      </c>
      <c r="E54" s="2" t="s">
        <v>120</v>
      </c>
      <c r="F54" s="2" t="s">
        <v>6</v>
      </c>
      <c r="G54" s="2">
        <v>195</v>
      </c>
      <c r="H54" s="2">
        <v>28</v>
      </c>
      <c r="I54" s="2">
        <f t="shared" si="2"/>
        <v>5460</v>
      </c>
      <c r="J54" s="2">
        <v>940</v>
      </c>
      <c r="K54" s="19">
        <f t="shared" si="1"/>
        <v>0.17216117216117216</v>
      </c>
      <c r="L54" s="5" t="s">
        <v>141</v>
      </c>
    </row>
    <row r="55" spans="1:12" x14ac:dyDescent="0.3">
      <c r="A55" s="4" t="s">
        <v>71</v>
      </c>
      <c r="B55" s="3">
        <v>45954</v>
      </c>
      <c r="C55" s="3" t="s">
        <v>135</v>
      </c>
      <c r="D55" s="2" t="s">
        <v>15</v>
      </c>
      <c r="E55" s="2" t="s">
        <v>121</v>
      </c>
      <c r="F55" s="2" t="s">
        <v>7</v>
      </c>
      <c r="G55" s="2">
        <v>210</v>
      </c>
      <c r="H55" s="2">
        <v>31</v>
      </c>
      <c r="I55" s="2">
        <f t="shared" si="2"/>
        <v>6510</v>
      </c>
      <c r="J55" s="2">
        <v>710</v>
      </c>
      <c r="K55" s="19">
        <f t="shared" si="1"/>
        <v>0.10906298003072197</v>
      </c>
      <c r="L55" s="5" t="s">
        <v>142</v>
      </c>
    </row>
    <row r="56" spans="1:12" x14ac:dyDescent="0.3">
      <c r="A56" s="4" t="s">
        <v>72</v>
      </c>
      <c r="B56" s="3">
        <v>45955</v>
      </c>
      <c r="C56" s="3" t="s">
        <v>135</v>
      </c>
      <c r="D56" s="2" t="s">
        <v>16</v>
      </c>
      <c r="E56" s="2" t="s">
        <v>122</v>
      </c>
      <c r="F56" s="2" t="s">
        <v>8</v>
      </c>
      <c r="G56" s="2">
        <v>175</v>
      </c>
      <c r="H56" s="2">
        <v>23</v>
      </c>
      <c r="I56" s="2">
        <f t="shared" si="2"/>
        <v>4025</v>
      </c>
      <c r="J56" s="2">
        <v>1080</v>
      </c>
      <c r="K56" s="19">
        <f t="shared" si="1"/>
        <v>0.2683229813664596</v>
      </c>
      <c r="L56" s="5" t="s">
        <v>143</v>
      </c>
    </row>
    <row r="57" spans="1:12" x14ac:dyDescent="0.3">
      <c r="A57" s="4" t="s">
        <v>73</v>
      </c>
      <c r="B57" s="3">
        <v>45956</v>
      </c>
      <c r="C57" s="3" t="s">
        <v>135</v>
      </c>
      <c r="D57" s="2" t="s">
        <v>17</v>
      </c>
      <c r="E57" s="2" t="s">
        <v>123</v>
      </c>
      <c r="F57" s="2" t="s">
        <v>9</v>
      </c>
      <c r="G57" s="2">
        <v>150</v>
      </c>
      <c r="H57" s="2">
        <v>18</v>
      </c>
      <c r="I57" s="2">
        <f t="shared" si="2"/>
        <v>2700</v>
      </c>
      <c r="J57" s="2">
        <v>880</v>
      </c>
      <c r="K57" s="19">
        <f t="shared" si="1"/>
        <v>0.32592592592592595</v>
      </c>
      <c r="L57" s="5" t="s">
        <v>144</v>
      </c>
    </row>
    <row r="58" spans="1:12" x14ac:dyDescent="0.3">
      <c r="A58" s="4" t="s">
        <v>74</v>
      </c>
      <c r="B58" s="3">
        <v>45957</v>
      </c>
      <c r="C58" s="3" t="s">
        <v>135</v>
      </c>
      <c r="D58" s="2" t="s">
        <v>14</v>
      </c>
      <c r="E58" s="2" t="s">
        <v>124</v>
      </c>
      <c r="F58" s="2" t="s">
        <v>10</v>
      </c>
      <c r="G58" s="2">
        <v>230</v>
      </c>
      <c r="H58" s="2">
        <v>36</v>
      </c>
      <c r="I58" s="2">
        <f t="shared" si="2"/>
        <v>8280</v>
      </c>
      <c r="J58" s="2">
        <v>1590</v>
      </c>
      <c r="K58" s="19">
        <f t="shared" si="1"/>
        <v>0.19202898550724637</v>
      </c>
      <c r="L58" s="5" t="s">
        <v>145</v>
      </c>
    </row>
    <row r="59" spans="1:12" x14ac:dyDescent="0.3">
      <c r="A59" s="4" t="s">
        <v>75</v>
      </c>
      <c r="B59" s="3">
        <v>45958</v>
      </c>
      <c r="C59" s="3" t="s">
        <v>135</v>
      </c>
      <c r="D59" s="2" t="s">
        <v>15</v>
      </c>
      <c r="E59" s="2" t="s">
        <v>125</v>
      </c>
      <c r="F59" s="2" t="s">
        <v>11</v>
      </c>
      <c r="G59" s="2">
        <v>260</v>
      </c>
      <c r="H59" s="2">
        <v>40</v>
      </c>
      <c r="I59" s="2">
        <f t="shared" si="2"/>
        <v>10400</v>
      </c>
      <c r="J59" s="2">
        <v>1020</v>
      </c>
      <c r="K59" s="19">
        <f t="shared" si="1"/>
        <v>9.8076923076923075E-2</v>
      </c>
      <c r="L59" s="5" t="s">
        <v>146</v>
      </c>
    </row>
    <row r="60" spans="1:12" x14ac:dyDescent="0.3">
      <c r="A60" s="4" t="s">
        <v>76</v>
      </c>
      <c r="B60" s="3">
        <v>45959</v>
      </c>
      <c r="C60" s="3" t="s">
        <v>135</v>
      </c>
      <c r="D60" s="2" t="s">
        <v>16</v>
      </c>
      <c r="E60" s="2" t="s">
        <v>126</v>
      </c>
      <c r="F60" s="2" t="s">
        <v>12</v>
      </c>
      <c r="G60" s="2">
        <v>160</v>
      </c>
      <c r="H60" s="2">
        <v>22</v>
      </c>
      <c r="I60" s="2">
        <f t="shared" si="2"/>
        <v>3520</v>
      </c>
      <c r="J60" s="2">
        <v>630</v>
      </c>
      <c r="K60" s="19">
        <f t="shared" si="1"/>
        <v>0.17897727272727273</v>
      </c>
      <c r="L60" s="5" t="s">
        <v>147</v>
      </c>
    </row>
    <row r="61" spans="1:12" x14ac:dyDescent="0.3">
      <c r="A61" s="4" t="s">
        <v>77</v>
      </c>
      <c r="B61" s="3">
        <v>45960</v>
      </c>
      <c r="C61" s="3" t="s">
        <v>135</v>
      </c>
      <c r="D61" s="2" t="s">
        <v>17</v>
      </c>
      <c r="E61" s="2" t="s">
        <v>127</v>
      </c>
      <c r="F61" s="2" t="s">
        <v>13</v>
      </c>
      <c r="G61" s="2">
        <v>140</v>
      </c>
      <c r="H61" s="2">
        <v>16</v>
      </c>
      <c r="I61" s="2">
        <f t="shared" si="2"/>
        <v>2240</v>
      </c>
      <c r="J61" s="2">
        <v>1470</v>
      </c>
      <c r="K61" s="19">
        <f t="shared" si="1"/>
        <v>0.65625</v>
      </c>
      <c r="L61" s="5" t="s">
        <v>148</v>
      </c>
    </row>
    <row r="62" spans="1:12" x14ac:dyDescent="0.3">
      <c r="A62" s="4" t="s">
        <v>78</v>
      </c>
      <c r="B62" s="3">
        <v>45961</v>
      </c>
      <c r="C62" s="3" t="s">
        <v>135</v>
      </c>
      <c r="D62" s="2" t="s">
        <v>14</v>
      </c>
      <c r="E62" s="2" t="s">
        <v>118</v>
      </c>
      <c r="F62" s="2" t="s">
        <v>4</v>
      </c>
      <c r="G62" s="2">
        <v>200</v>
      </c>
      <c r="H62" s="2">
        <v>29</v>
      </c>
      <c r="I62" s="2">
        <f t="shared" si="2"/>
        <v>5800</v>
      </c>
      <c r="J62" s="2">
        <v>920</v>
      </c>
      <c r="K62" s="19">
        <f t="shared" si="1"/>
        <v>0.15862068965517243</v>
      </c>
      <c r="L62" s="5" t="s">
        <v>139</v>
      </c>
    </row>
    <row r="63" spans="1:12" x14ac:dyDescent="0.3">
      <c r="A63" s="4" t="s">
        <v>79</v>
      </c>
      <c r="B63" s="3">
        <v>45962</v>
      </c>
      <c r="C63" s="3" t="s">
        <v>136</v>
      </c>
      <c r="D63" s="2" t="s">
        <v>15</v>
      </c>
      <c r="E63" s="2" t="s">
        <v>119</v>
      </c>
      <c r="F63" s="2" t="s">
        <v>5</v>
      </c>
      <c r="G63" s="2">
        <v>185</v>
      </c>
      <c r="H63" s="2">
        <v>27</v>
      </c>
      <c r="I63" s="2">
        <f t="shared" si="2"/>
        <v>4995</v>
      </c>
      <c r="J63" s="2">
        <v>780</v>
      </c>
      <c r="K63" s="19">
        <f t="shared" si="1"/>
        <v>0.15615615615615616</v>
      </c>
      <c r="L63" s="5" t="s">
        <v>140</v>
      </c>
    </row>
    <row r="64" spans="1:12" x14ac:dyDescent="0.3">
      <c r="A64" s="4" t="s">
        <v>80</v>
      </c>
      <c r="B64" s="3">
        <v>45963</v>
      </c>
      <c r="C64" s="3" t="s">
        <v>136</v>
      </c>
      <c r="D64" s="2" t="s">
        <v>16</v>
      </c>
      <c r="E64" s="2" t="s">
        <v>120</v>
      </c>
      <c r="F64" s="2" t="s">
        <v>6</v>
      </c>
      <c r="G64" s="2">
        <v>215</v>
      </c>
      <c r="H64" s="2">
        <v>33</v>
      </c>
      <c r="I64" s="2">
        <f t="shared" si="2"/>
        <v>7095</v>
      </c>
      <c r="J64" s="2">
        <v>1110</v>
      </c>
      <c r="K64" s="19">
        <f t="shared" si="1"/>
        <v>0.15644820295983086</v>
      </c>
      <c r="L64" s="5" t="s">
        <v>141</v>
      </c>
    </row>
    <row r="65" spans="1:12" x14ac:dyDescent="0.3">
      <c r="A65" s="4" t="s">
        <v>81</v>
      </c>
      <c r="B65" s="3">
        <v>45964</v>
      </c>
      <c r="C65" s="3" t="s">
        <v>136</v>
      </c>
      <c r="D65" s="2" t="s">
        <v>17</v>
      </c>
      <c r="E65" s="2" t="s">
        <v>121</v>
      </c>
      <c r="F65" s="2" t="s">
        <v>7</v>
      </c>
      <c r="G65" s="2">
        <v>155</v>
      </c>
      <c r="H65" s="2">
        <v>19</v>
      </c>
      <c r="I65" s="2">
        <f t="shared" si="2"/>
        <v>2945</v>
      </c>
      <c r="J65" s="2">
        <v>1360</v>
      </c>
      <c r="K65" s="19">
        <f t="shared" si="1"/>
        <v>0.46179966044142612</v>
      </c>
      <c r="L65" s="5" t="s">
        <v>142</v>
      </c>
    </row>
    <row r="66" spans="1:12" x14ac:dyDescent="0.3">
      <c r="A66" s="4" t="s">
        <v>82</v>
      </c>
      <c r="B66" s="3">
        <v>45965</v>
      </c>
      <c r="C66" s="3" t="s">
        <v>136</v>
      </c>
      <c r="D66" s="2" t="s">
        <v>14</v>
      </c>
      <c r="E66" s="2" t="s">
        <v>122</v>
      </c>
      <c r="F66" s="2" t="s">
        <v>8</v>
      </c>
      <c r="G66" s="2">
        <v>175</v>
      </c>
      <c r="H66" s="2">
        <v>24</v>
      </c>
      <c r="I66" s="2">
        <f t="shared" ref="I66:I97" si="3">H66*G66</f>
        <v>4200</v>
      </c>
      <c r="J66" s="2">
        <v>850</v>
      </c>
      <c r="K66" s="19">
        <f t="shared" ref="K66:K101" si="4">J66/I66</f>
        <v>0.20238095238095238</v>
      </c>
      <c r="L66" s="5" t="s">
        <v>143</v>
      </c>
    </row>
    <row r="67" spans="1:12" x14ac:dyDescent="0.3">
      <c r="A67" s="4" t="s">
        <v>83</v>
      </c>
      <c r="B67" s="3">
        <v>45966</v>
      </c>
      <c r="C67" s="3" t="s">
        <v>136</v>
      </c>
      <c r="D67" s="2" t="s">
        <v>15</v>
      </c>
      <c r="E67" s="2" t="s">
        <v>123</v>
      </c>
      <c r="F67" s="2" t="s">
        <v>9</v>
      </c>
      <c r="G67" s="2">
        <v>240</v>
      </c>
      <c r="H67" s="2">
        <v>38</v>
      </c>
      <c r="I67" s="2">
        <f t="shared" si="3"/>
        <v>9120</v>
      </c>
      <c r="J67" s="2">
        <v>810</v>
      </c>
      <c r="K67" s="19">
        <f t="shared" si="4"/>
        <v>8.8815789473684209E-2</v>
      </c>
      <c r="L67" s="5" t="s">
        <v>144</v>
      </c>
    </row>
    <row r="68" spans="1:12" x14ac:dyDescent="0.3">
      <c r="A68" s="4" t="s">
        <v>84</v>
      </c>
      <c r="B68" s="3">
        <v>45967</v>
      </c>
      <c r="C68" s="3" t="s">
        <v>136</v>
      </c>
      <c r="D68" s="2" t="s">
        <v>16</v>
      </c>
      <c r="E68" s="2" t="s">
        <v>124</v>
      </c>
      <c r="F68" s="2" t="s">
        <v>10</v>
      </c>
      <c r="G68" s="2">
        <v>165</v>
      </c>
      <c r="H68" s="2">
        <v>21</v>
      </c>
      <c r="I68" s="2">
        <f t="shared" si="3"/>
        <v>3465</v>
      </c>
      <c r="J68" s="2">
        <v>990</v>
      </c>
      <c r="K68" s="19">
        <f t="shared" si="4"/>
        <v>0.2857142857142857</v>
      </c>
      <c r="L68" s="5" t="s">
        <v>145</v>
      </c>
    </row>
    <row r="69" spans="1:12" x14ac:dyDescent="0.3">
      <c r="A69" s="4" t="s">
        <v>85</v>
      </c>
      <c r="B69" s="3">
        <v>45968</v>
      </c>
      <c r="C69" s="3" t="s">
        <v>136</v>
      </c>
      <c r="D69" s="2" t="s">
        <v>17</v>
      </c>
      <c r="E69" s="2" t="s">
        <v>125</v>
      </c>
      <c r="F69" s="2" t="s">
        <v>11</v>
      </c>
      <c r="G69" s="2">
        <v>190</v>
      </c>
      <c r="H69" s="2">
        <v>30</v>
      </c>
      <c r="I69" s="2">
        <f t="shared" si="3"/>
        <v>5700</v>
      </c>
      <c r="J69" s="2">
        <v>720</v>
      </c>
      <c r="K69" s="19">
        <f t="shared" si="4"/>
        <v>0.12631578947368421</v>
      </c>
      <c r="L69" s="5" t="s">
        <v>146</v>
      </c>
    </row>
    <row r="70" spans="1:12" x14ac:dyDescent="0.3">
      <c r="A70" s="4" t="s">
        <v>86</v>
      </c>
      <c r="B70" s="3">
        <v>45969</v>
      </c>
      <c r="C70" s="3" t="s">
        <v>136</v>
      </c>
      <c r="D70" s="2" t="s">
        <v>14</v>
      </c>
      <c r="E70" s="2" t="s">
        <v>126</v>
      </c>
      <c r="F70" s="2" t="s">
        <v>12</v>
      </c>
      <c r="G70" s="2">
        <v>130</v>
      </c>
      <c r="H70" s="2">
        <v>14</v>
      </c>
      <c r="I70" s="2">
        <f t="shared" si="3"/>
        <v>1820</v>
      </c>
      <c r="J70" s="2">
        <v>1650</v>
      </c>
      <c r="K70" s="19">
        <f t="shared" si="4"/>
        <v>0.90659340659340659</v>
      </c>
      <c r="L70" s="5" t="s">
        <v>147</v>
      </c>
    </row>
    <row r="71" spans="1:12" x14ac:dyDescent="0.3">
      <c r="A71" s="4" t="s">
        <v>87</v>
      </c>
      <c r="B71" s="3">
        <v>45970</v>
      </c>
      <c r="C71" s="3" t="s">
        <v>136</v>
      </c>
      <c r="D71" s="2" t="s">
        <v>15</v>
      </c>
      <c r="E71" s="2" t="s">
        <v>127</v>
      </c>
      <c r="F71" s="2" t="s">
        <v>13</v>
      </c>
      <c r="G71" s="2">
        <v>180</v>
      </c>
      <c r="H71" s="2">
        <v>26</v>
      </c>
      <c r="I71" s="2">
        <f t="shared" si="3"/>
        <v>4680</v>
      </c>
      <c r="J71" s="2">
        <v>840</v>
      </c>
      <c r="K71" s="19">
        <f t="shared" si="4"/>
        <v>0.17948717948717949</v>
      </c>
      <c r="L71" s="5" t="s">
        <v>148</v>
      </c>
    </row>
    <row r="72" spans="1:12" x14ac:dyDescent="0.3">
      <c r="A72" s="4" t="s">
        <v>88</v>
      </c>
      <c r="B72" s="3">
        <v>45971</v>
      </c>
      <c r="C72" s="3" t="s">
        <v>136</v>
      </c>
      <c r="D72" s="2" t="s">
        <v>16</v>
      </c>
      <c r="E72" s="2" t="s">
        <v>118</v>
      </c>
      <c r="F72" s="2" t="s">
        <v>4</v>
      </c>
      <c r="G72" s="2">
        <v>225</v>
      </c>
      <c r="H72" s="2">
        <v>35</v>
      </c>
      <c r="I72" s="2">
        <f t="shared" si="3"/>
        <v>7875</v>
      </c>
      <c r="J72" s="2">
        <v>1180</v>
      </c>
      <c r="K72" s="19">
        <f t="shared" si="4"/>
        <v>0.14984126984126983</v>
      </c>
      <c r="L72" s="5" t="s">
        <v>139</v>
      </c>
    </row>
    <row r="73" spans="1:12" x14ac:dyDescent="0.3">
      <c r="A73" s="4" t="s">
        <v>89</v>
      </c>
      <c r="B73" s="3">
        <v>45972</v>
      </c>
      <c r="C73" s="3" t="s">
        <v>136</v>
      </c>
      <c r="D73" s="2" t="s">
        <v>17</v>
      </c>
      <c r="E73" s="2" t="s">
        <v>119</v>
      </c>
      <c r="F73" s="2" t="s">
        <v>5</v>
      </c>
      <c r="G73" s="2">
        <v>145</v>
      </c>
      <c r="H73" s="2">
        <v>17</v>
      </c>
      <c r="I73" s="2">
        <f t="shared" si="3"/>
        <v>2465</v>
      </c>
      <c r="J73" s="2">
        <v>690</v>
      </c>
      <c r="K73" s="19">
        <f t="shared" si="4"/>
        <v>0.27991886409736311</v>
      </c>
      <c r="L73" s="5" t="s">
        <v>140</v>
      </c>
    </row>
    <row r="74" spans="1:12" x14ac:dyDescent="0.3">
      <c r="A74" s="4" t="s">
        <v>90</v>
      </c>
      <c r="B74" s="3">
        <v>45973</v>
      </c>
      <c r="C74" s="3" t="s">
        <v>136</v>
      </c>
      <c r="D74" s="2" t="s">
        <v>14</v>
      </c>
      <c r="E74" s="2" t="s">
        <v>120</v>
      </c>
      <c r="F74" s="2" t="s">
        <v>6</v>
      </c>
      <c r="G74" s="2">
        <v>195</v>
      </c>
      <c r="H74" s="2">
        <v>28</v>
      </c>
      <c r="I74" s="2">
        <f t="shared" si="3"/>
        <v>5460</v>
      </c>
      <c r="J74" s="2">
        <v>1520</v>
      </c>
      <c r="K74" s="19">
        <f t="shared" si="4"/>
        <v>0.2783882783882784</v>
      </c>
      <c r="L74" s="5" t="s">
        <v>141</v>
      </c>
    </row>
    <row r="75" spans="1:12" x14ac:dyDescent="0.3">
      <c r="A75" s="4" t="s">
        <v>91</v>
      </c>
      <c r="B75" s="3">
        <v>45974</v>
      </c>
      <c r="C75" s="3" t="s">
        <v>136</v>
      </c>
      <c r="D75" s="2" t="s">
        <v>15</v>
      </c>
      <c r="E75" s="2" t="s">
        <v>121</v>
      </c>
      <c r="F75" s="2" t="s">
        <v>7</v>
      </c>
      <c r="G75" s="2">
        <v>205</v>
      </c>
      <c r="H75" s="2">
        <v>32</v>
      </c>
      <c r="I75" s="2">
        <f t="shared" si="3"/>
        <v>6560</v>
      </c>
      <c r="J75" s="2">
        <v>970</v>
      </c>
      <c r="K75" s="19">
        <f t="shared" si="4"/>
        <v>0.14786585365853658</v>
      </c>
      <c r="L75" s="5" t="s">
        <v>142</v>
      </c>
    </row>
    <row r="76" spans="1:12" x14ac:dyDescent="0.3">
      <c r="A76" s="4" t="s">
        <v>92</v>
      </c>
      <c r="B76" s="3">
        <v>45975</v>
      </c>
      <c r="C76" s="3" t="s">
        <v>136</v>
      </c>
      <c r="D76" s="2" t="s">
        <v>16</v>
      </c>
      <c r="E76" s="2" t="s">
        <v>122</v>
      </c>
      <c r="F76" s="2" t="s">
        <v>8</v>
      </c>
      <c r="G76" s="2">
        <v>170</v>
      </c>
      <c r="H76" s="2">
        <v>20</v>
      </c>
      <c r="I76" s="2">
        <f t="shared" si="3"/>
        <v>3400</v>
      </c>
      <c r="J76" s="2">
        <v>560</v>
      </c>
      <c r="K76" s="19">
        <f t="shared" si="4"/>
        <v>0.16470588235294117</v>
      </c>
      <c r="L76" s="5" t="s">
        <v>143</v>
      </c>
    </row>
    <row r="77" spans="1:12" x14ac:dyDescent="0.3">
      <c r="A77" s="4" t="s">
        <v>93</v>
      </c>
      <c r="B77" s="3">
        <v>45976</v>
      </c>
      <c r="C77" s="3" t="s">
        <v>136</v>
      </c>
      <c r="D77" s="2" t="s">
        <v>17</v>
      </c>
      <c r="E77" s="2" t="s">
        <v>123</v>
      </c>
      <c r="F77" s="2" t="s">
        <v>9</v>
      </c>
      <c r="G77" s="2">
        <v>160</v>
      </c>
      <c r="H77" s="2">
        <v>23</v>
      </c>
      <c r="I77" s="2">
        <f t="shared" si="3"/>
        <v>3680</v>
      </c>
      <c r="J77" s="2">
        <v>1290</v>
      </c>
      <c r="K77" s="19">
        <f t="shared" si="4"/>
        <v>0.35054347826086957</v>
      </c>
      <c r="L77" s="5" t="s">
        <v>144</v>
      </c>
    </row>
    <row r="78" spans="1:12" x14ac:dyDescent="0.3">
      <c r="A78" s="4" t="s">
        <v>94</v>
      </c>
      <c r="B78" s="3">
        <v>45977</v>
      </c>
      <c r="C78" s="3" t="s">
        <v>136</v>
      </c>
      <c r="D78" s="2" t="s">
        <v>14</v>
      </c>
      <c r="E78" s="2" t="s">
        <v>124</v>
      </c>
      <c r="F78" s="2" t="s">
        <v>10</v>
      </c>
      <c r="G78" s="2">
        <v>250</v>
      </c>
      <c r="H78" s="2">
        <v>41</v>
      </c>
      <c r="I78" s="2">
        <f t="shared" si="3"/>
        <v>10250</v>
      </c>
      <c r="J78" s="2">
        <v>1450</v>
      </c>
      <c r="K78" s="19">
        <f t="shared" si="4"/>
        <v>0.14146341463414633</v>
      </c>
      <c r="L78" s="5" t="s">
        <v>145</v>
      </c>
    </row>
    <row r="79" spans="1:12" x14ac:dyDescent="0.3">
      <c r="A79" s="4" t="s">
        <v>95</v>
      </c>
      <c r="B79" s="3">
        <v>45978</v>
      </c>
      <c r="C79" s="3" t="s">
        <v>136</v>
      </c>
      <c r="D79" s="2" t="s">
        <v>15</v>
      </c>
      <c r="E79" s="2" t="s">
        <v>125</v>
      </c>
      <c r="F79" s="2" t="s">
        <v>11</v>
      </c>
      <c r="G79" s="2">
        <v>150</v>
      </c>
      <c r="H79" s="2">
        <v>18</v>
      </c>
      <c r="I79" s="2">
        <f t="shared" si="3"/>
        <v>2700</v>
      </c>
      <c r="J79" s="2">
        <v>880</v>
      </c>
      <c r="K79" s="19">
        <f t="shared" si="4"/>
        <v>0.32592592592592595</v>
      </c>
      <c r="L79" s="5" t="s">
        <v>146</v>
      </c>
    </row>
    <row r="80" spans="1:12" x14ac:dyDescent="0.3">
      <c r="A80" s="4" t="s">
        <v>96</v>
      </c>
      <c r="B80" s="3">
        <v>45979</v>
      </c>
      <c r="C80" s="3" t="s">
        <v>136</v>
      </c>
      <c r="D80" s="2" t="s">
        <v>16</v>
      </c>
      <c r="E80" s="2" t="s">
        <v>126</v>
      </c>
      <c r="F80" s="2" t="s">
        <v>12</v>
      </c>
      <c r="G80" s="2">
        <v>220</v>
      </c>
      <c r="H80" s="2">
        <v>34</v>
      </c>
      <c r="I80" s="2">
        <f t="shared" si="3"/>
        <v>7480</v>
      </c>
      <c r="J80" s="2">
        <v>1410</v>
      </c>
      <c r="K80" s="19">
        <f t="shared" si="4"/>
        <v>0.18850267379679145</v>
      </c>
      <c r="L80" s="5" t="s">
        <v>147</v>
      </c>
    </row>
    <row r="81" spans="1:12" x14ac:dyDescent="0.3">
      <c r="A81" s="4" t="s">
        <v>97</v>
      </c>
      <c r="B81" s="3">
        <v>45980</v>
      </c>
      <c r="C81" s="3" t="s">
        <v>136</v>
      </c>
      <c r="D81" s="2" t="s">
        <v>17</v>
      </c>
      <c r="E81" s="2" t="s">
        <v>127</v>
      </c>
      <c r="F81" s="2" t="s">
        <v>13</v>
      </c>
      <c r="G81" s="2">
        <v>185</v>
      </c>
      <c r="H81" s="2">
        <v>25</v>
      </c>
      <c r="I81" s="2">
        <f t="shared" si="3"/>
        <v>4625</v>
      </c>
      <c r="J81" s="2">
        <v>910</v>
      </c>
      <c r="K81" s="19">
        <f t="shared" si="4"/>
        <v>0.19675675675675675</v>
      </c>
      <c r="L81" s="5" t="s">
        <v>148</v>
      </c>
    </row>
    <row r="82" spans="1:12" x14ac:dyDescent="0.3">
      <c r="A82" s="4" t="s">
        <v>98</v>
      </c>
      <c r="B82" s="3">
        <v>45981</v>
      </c>
      <c r="C82" s="3" t="s">
        <v>136</v>
      </c>
      <c r="D82" s="2" t="s">
        <v>14</v>
      </c>
      <c r="E82" s="2" t="s">
        <v>118</v>
      </c>
      <c r="F82" s="2" t="s">
        <v>4</v>
      </c>
      <c r="G82" s="2">
        <v>140</v>
      </c>
      <c r="H82" s="2">
        <v>16</v>
      </c>
      <c r="I82" s="2">
        <f t="shared" si="3"/>
        <v>2240</v>
      </c>
      <c r="J82" s="2">
        <v>770</v>
      </c>
      <c r="K82" s="19">
        <f t="shared" si="4"/>
        <v>0.34375</v>
      </c>
      <c r="L82" s="5" t="s">
        <v>139</v>
      </c>
    </row>
    <row r="83" spans="1:12" x14ac:dyDescent="0.3">
      <c r="A83" s="4" t="s">
        <v>99</v>
      </c>
      <c r="B83" s="3">
        <v>45982</v>
      </c>
      <c r="C83" s="3" t="s">
        <v>136</v>
      </c>
      <c r="D83" s="2" t="s">
        <v>15</v>
      </c>
      <c r="E83" s="2" t="s">
        <v>119</v>
      </c>
      <c r="F83" s="2" t="s">
        <v>5</v>
      </c>
      <c r="G83" s="2">
        <v>200</v>
      </c>
      <c r="H83" s="2">
        <v>29</v>
      </c>
      <c r="I83" s="2">
        <f t="shared" si="3"/>
        <v>5800</v>
      </c>
      <c r="J83" s="2">
        <v>1600</v>
      </c>
      <c r="K83" s="19">
        <f t="shared" si="4"/>
        <v>0.27586206896551724</v>
      </c>
      <c r="L83" s="5" t="s">
        <v>140</v>
      </c>
    </row>
    <row r="84" spans="1:12" x14ac:dyDescent="0.3">
      <c r="A84" s="4" t="s">
        <v>100</v>
      </c>
      <c r="B84" s="3">
        <v>45983</v>
      </c>
      <c r="C84" s="3" t="s">
        <v>136</v>
      </c>
      <c r="D84" s="2" t="s">
        <v>16</v>
      </c>
      <c r="E84" s="2" t="s">
        <v>120</v>
      </c>
      <c r="F84" s="2" t="s">
        <v>6</v>
      </c>
      <c r="G84" s="2">
        <v>235</v>
      </c>
      <c r="H84" s="2">
        <v>37</v>
      </c>
      <c r="I84" s="2">
        <f t="shared" si="3"/>
        <v>8695</v>
      </c>
      <c r="J84" s="2">
        <v>1040</v>
      </c>
      <c r="K84" s="19">
        <f t="shared" si="4"/>
        <v>0.11960897067280046</v>
      </c>
      <c r="L84" s="5" t="s">
        <v>141</v>
      </c>
    </row>
    <row r="85" spans="1:12" x14ac:dyDescent="0.3">
      <c r="A85" s="4" t="s">
        <v>101</v>
      </c>
      <c r="B85" s="3">
        <v>45984</v>
      </c>
      <c r="C85" s="3" t="s">
        <v>136</v>
      </c>
      <c r="D85" s="2" t="s">
        <v>17</v>
      </c>
      <c r="E85" s="2" t="s">
        <v>121</v>
      </c>
      <c r="F85" s="2" t="s">
        <v>7</v>
      </c>
      <c r="G85" s="2">
        <v>165</v>
      </c>
      <c r="H85" s="2">
        <v>22</v>
      </c>
      <c r="I85" s="2">
        <f t="shared" si="3"/>
        <v>3630</v>
      </c>
      <c r="J85" s="2">
        <v>680</v>
      </c>
      <c r="K85" s="19">
        <f t="shared" si="4"/>
        <v>0.18732782369146006</v>
      </c>
      <c r="L85" s="5" t="s">
        <v>142</v>
      </c>
    </row>
    <row r="86" spans="1:12" x14ac:dyDescent="0.3">
      <c r="A86" s="4" t="s">
        <v>102</v>
      </c>
      <c r="B86" s="3">
        <v>45985</v>
      </c>
      <c r="C86" s="3" t="s">
        <v>136</v>
      </c>
      <c r="D86" s="2" t="s">
        <v>14</v>
      </c>
      <c r="E86" s="2" t="s">
        <v>122</v>
      </c>
      <c r="F86" s="2" t="s">
        <v>8</v>
      </c>
      <c r="G86" s="2">
        <v>210</v>
      </c>
      <c r="H86" s="2">
        <v>31</v>
      </c>
      <c r="I86" s="2">
        <f t="shared" si="3"/>
        <v>6510</v>
      </c>
      <c r="J86" s="2">
        <v>1250</v>
      </c>
      <c r="K86" s="19">
        <f t="shared" si="4"/>
        <v>0.19201228878648233</v>
      </c>
      <c r="L86" s="5" t="s">
        <v>143</v>
      </c>
    </row>
    <row r="87" spans="1:12" x14ac:dyDescent="0.3">
      <c r="A87" s="4" t="s">
        <v>103</v>
      </c>
      <c r="B87" s="3">
        <v>45986</v>
      </c>
      <c r="C87" s="3" t="s">
        <v>136</v>
      </c>
      <c r="D87" s="2" t="s">
        <v>15</v>
      </c>
      <c r="E87" s="2" t="s">
        <v>123</v>
      </c>
      <c r="F87" s="2" t="s">
        <v>9</v>
      </c>
      <c r="G87" s="2">
        <v>190</v>
      </c>
      <c r="H87" s="2">
        <v>27</v>
      </c>
      <c r="I87" s="2">
        <f t="shared" si="3"/>
        <v>5130</v>
      </c>
      <c r="J87" s="2">
        <v>830</v>
      </c>
      <c r="K87" s="19">
        <f t="shared" si="4"/>
        <v>0.1617933723196881</v>
      </c>
      <c r="L87" s="5" t="s">
        <v>144</v>
      </c>
    </row>
    <row r="88" spans="1:12" x14ac:dyDescent="0.3">
      <c r="A88" s="4" t="s">
        <v>104</v>
      </c>
      <c r="B88" s="3">
        <v>45987</v>
      </c>
      <c r="C88" s="3" t="s">
        <v>136</v>
      </c>
      <c r="D88" s="2" t="s">
        <v>16</v>
      </c>
      <c r="E88" s="2" t="s">
        <v>124</v>
      </c>
      <c r="F88" s="2" t="s">
        <v>10</v>
      </c>
      <c r="G88" s="2">
        <v>155</v>
      </c>
      <c r="H88" s="2">
        <v>19</v>
      </c>
      <c r="I88" s="2">
        <f t="shared" si="3"/>
        <v>2945</v>
      </c>
      <c r="J88" s="2">
        <v>920</v>
      </c>
      <c r="K88" s="19">
        <f t="shared" si="4"/>
        <v>0.31239388794567063</v>
      </c>
      <c r="L88" s="5" t="s">
        <v>145</v>
      </c>
    </row>
    <row r="89" spans="1:12" x14ac:dyDescent="0.3">
      <c r="A89" s="4" t="s">
        <v>105</v>
      </c>
      <c r="B89" s="3">
        <v>45988</v>
      </c>
      <c r="C89" s="3" t="s">
        <v>136</v>
      </c>
      <c r="D89" s="2" t="s">
        <v>17</v>
      </c>
      <c r="E89" s="2" t="s">
        <v>125</v>
      </c>
      <c r="F89" s="2" t="s">
        <v>11</v>
      </c>
      <c r="G89" s="2">
        <v>230</v>
      </c>
      <c r="H89" s="2">
        <v>36</v>
      </c>
      <c r="I89" s="2">
        <f t="shared" si="3"/>
        <v>8280</v>
      </c>
      <c r="J89" s="2">
        <v>970</v>
      </c>
      <c r="K89" s="19">
        <f t="shared" si="4"/>
        <v>0.11714975845410629</v>
      </c>
      <c r="L89" s="5" t="s">
        <v>146</v>
      </c>
    </row>
    <row r="90" spans="1:12" x14ac:dyDescent="0.3">
      <c r="A90" s="4" t="s">
        <v>106</v>
      </c>
      <c r="B90" s="3">
        <v>45989</v>
      </c>
      <c r="C90" s="3" t="s">
        <v>136</v>
      </c>
      <c r="D90" s="2" t="s">
        <v>14</v>
      </c>
      <c r="E90" s="2" t="s">
        <v>126</v>
      </c>
      <c r="F90" s="2" t="s">
        <v>12</v>
      </c>
      <c r="G90" s="2">
        <v>175</v>
      </c>
      <c r="H90" s="2">
        <v>24</v>
      </c>
      <c r="I90" s="2">
        <f t="shared" si="3"/>
        <v>4200</v>
      </c>
      <c r="J90" s="2">
        <v>1490</v>
      </c>
      <c r="K90" s="19">
        <f t="shared" si="4"/>
        <v>0.35476190476190478</v>
      </c>
      <c r="L90" s="5" t="s">
        <v>147</v>
      </c>
    </row>
    <row r="91" spans="1:12" x14ac:dyDescent="0.3">
      <c r="A91" s="4" t="s">
        <v>107</v>
      </c>
      <c r="B91" s="3">
        <v>45990</v>
      </c>
      <c r="C91" s="3" t="s">
        <v>136</v>
      </c>
      <c r="D91" s="2" t="s">
        <v>15</v>
      </c>
      <c r="E91" s="2" t="s">
        <v>127</v>
      </c>
      <c r="F91" s="2" t="s">
        <v>13</v>
      </c>
      <c r="G91" s="2">
        <v>205</v>
      </c>
      <c r="H91" s="2">
        <v>33</v>
      </c>
      <c r="I91" s="2">
        <f t="shared" si="3"/>
        <v>6765</v>
      </c>
      <c r="J91" s="2">
        <v>760</v>
      </c>
      <c r="K91" s="19">
        <f t="shared" si="4"/>
        <v>0.1123429416112343</v>
      </c>
      <c r="L91" s="5" t="s">
        <v>148</v>
      </c>
    </row>
    <row r="92" spans="1:12" x14ac:dyDescent="0.3">
      <c r="A92" s="4" t="s">
        <v>108</v>
      </c>
      <c r="B92" s="3">
        <v>45991</v>
      </c>
      <c r="C92" s="3" t="s">
        <v>136</v>
      </c>
      <c r="D92" s="2" t="s">
        <v>16</v>
      </c>
      <c r="E92" s="2" t="s">
        <v>118</v>
      </c>
      <c r="F92" s="2" t="s">
        <v>4</v>
      </c>
      <c r="G92" s="2">
        <v>135</v>
      </c>
      <c r="H92" s="2">
        <v>15</v>
      </c>
      <c r="I92" s="2">
        <f t="shared" si="3"/>
        <v>2025</v>
      </c>
      <c r="J92" s="2">
        <v>1380</v>
      </c>
      <c r="K92" s="19">
        <f t="shared" si="4"/>
        <v>0.68148148148148147</v>
      </c>
      <c r="L92" s="5" t="s">
        <v>139</v>
      </c>
    </row>
    <row r="93" spans="1:12" x14ac:dyDescent="0.3">
      <c r="A93" s="4" t="s">
        <v>109</v>
      </c>
      <c r="B93" s="3">
        <v>45992</v>
      </c>
      <c r="C93" s="3" t="s">
        <v>137</v>
      </c>
      <c r="D93" s="2" t="s">
        <v>17</v>
      </c>
      <c r="E93" s="2" t="s">
        <v>119</v>
      </c>
      <c r="F93" s="2" t="s">
        <v>5</v>
      </c>
      <c r="G93" s="2">
        <v>195</v>
      </c>
      <c r="H93" s="2">
        <v>28</v>
      </c>
      <c r="I93" s="2">
        <f t="shared" si="3"/>
        <v>5460</v>
      </c>
      <c r="J93" s="2">
        <v>870</v>
      </c>
      <c r="K93" s="19">
        <f t="shared" si="4"/>
        <v>0.15934065934065933</v>
      </c>
      <c r="L93" s="5" t="s">
        <v>140</v>
      </c>
    </row>
    <row r="94" spans="1:12" x14ac:dyDescent="0.3">
      <c r="A94" s="4" t="s">
        <v>110</v>
      </c>
      <c r="B94" s="3">
        <v>45993</v>
      </c>
      <c r="C94" s="3" t="s">
        <v>137</v>
      </c>
      <c r="D94" s="2" t="s">
        <v>14</v>
      </c>
      <c r="E94" s="2" t="s">
        <v>120</v>
      </c>
      <c r="F94" s="2" t="s">
        <v>6</v>
      </c>
      <c r="G94" s="2">
        <v>260</v>
      </c>
      <c r="H94" s="2">
        <v>40</v>
      </c>
      <c r="I94" s="2">
        <f t="shared" si="3"/>
        <v>10400</v>
      </c>
      <c r="J94" s="2">
        <v>950</v>
      </c>
      <c r="K94" s="19">
        <f t="shared" si="4"/>
        <v>9.1346153846153841E-2</v>
      </c>
      <c r="L94" s="5" t="s">
        <v>141</v>
      </c>
    </row>
    <row r="95" spans="1:12" x14ac:dyDescent="0.3">
      <c r="A95" s="4" t="s">
        <v>111</v>
      </c>
      <c r="B95" s="3">
        <v>45994</v>
      </c>
      <c r="C95" s="3" t="s">
        <v>137</v>
      </c>
      <c r="D95" s="2" t="s">
        <v>15</v>
      </c>
      <c r="E95" s="2" t="s">
        <v>121</v>
      </c>
      <c r="F95" s="2" t="s">
        <v>7</v>
      </c>
      <c r="G95" s="2">
        <v>170</v>
      </c>
      <c r="H95" s="2">
        <v>21</v>
      </c>
      <c r="I95" s="2">
        <f t="shared" si="3"/>
        <v>3570</v>
      </c>
      <c r="J95" s="2">
        <v>1100</v>
      </c>
      <c r="K95" s="19">
        <f t="shared" si="4"/>
        <v>0.3081232492997199</v>
      </c>
      <c r="L95" s="5" t="s">
        <v>142</v>
      </c>
    </row>
    <row r="96" spans="1:12" x14ac:dyDescent="0.3">
      <c r="A96" s="4" t="s">
        <v>112</v>
      </c>
      <c r="B96" s="3">
        <v>45995</v>
      </c>
      <c r="C96" s="3" t="s">
        <v>137</v>
      </c>
      <c r="D96" s="2" t="s">
        <v>16</v>
      </c>
      <c r="E96" s="2" t="s">
        <v>122</v>
      </c>
      <c r="F96" s="2" t="s">
        <v>8</v>
      </c>
      <c r="G96" s="2">
        <v>180</v>
      </c>
      <c r="H96" s="2">
        <v>26</v>
      </c>
      <c r="I96" s="2">
        <f t="shared" si="3"/>
        <v>4680</v>
      </c>
      <c r="J96" s="2">
        <v>690</v>
      </c>
      <c r="K96" s="19">
        <f t="shared" si="4"/>
        <v>0.14743589743589744</v>
      </c>
      <c r="L96" s="5" t="s">
        <v>143</v>
      </c>
    </row>
    <row r="97" spans="1:12" x14ac:dyDescent="0.3">
      <c r="A97" s="4" t="s">
        <v>113</v>
      </c>
      <c r="B97" s="3">
        <v>45996</v>
      </c>
      <c r="C97" s="3" t="s">
        <v>137</v>
      </c>
      <c r="D97" s="2" t="s">
        <v>17</v>
      </c>
      <c r="E97" s="2" t="s">
        <v>123</v>
      </c>
      <c r="F97" s="2" t="s">
        <v>9</v>
      </c>
      <c r="G97" s="2">
        <v>150</v>
      </c>
      <c r="H97" s="2">
        <v>18</v>
      </c>
      <c r="I97" s="2">
        <f t="shared" si="3"/>
        <v>2700</v>
      </c>
      <c r="J97" s="2">
        <v>1580</v>
      </c>
      <c r="K97" s="19">
        <f t="shared" si="4"/>
        <v>0.58518518518518514</v>
      </c>
      <c r="L97" s="5" t="s">
        <v>144</v>
      </c>
    </row>
    <row r="98" spans="1:12" x14ac:dyDescent="0.3">
      <c r="A98" s="4" t="s">
        <v>114</v>
      </c>
      <c r="B98" s="3">
        <v>45997</v>
      </c>
      <c r="C98" s="3" t="s">
        <v>137</v>
      </c>
      <c r="D98" s="2" t="s">
        <v>14</v>
      </c>
      <c r="E98" s="2" t="s">
        <v>124</v>
      </c>
      <c r="F98" s="2" t="s">
        <v>10</v>
      </c>
      <c r="G98" s="2">
        <v>225</v>
      </c>
      <c r="H98" s="2">
        <v>35</v>
      </c>
      <c r="I98" s="2">
        <f t="shared" ref="I98:I101" si="5">H98*G98</f>
        <v>7875</v>
      </c>
      <c r="J98" s="2">
        <v>1020</v>
      </c>
      <c r="K98" s="19">
        <f t="shared" si="4"/>
        <v>0.12952380952380951</v>
      </c>
      <c r="L98" s="5" t="s">
        <v>145</v>
      </c>
    </row>
    <row r="99" spans="1:12" x14ac:dyDescent="0.3">
      <c r="A99" s="4" t="s">
        <v>115</v>
      </c>
      <c r="B99" s="3">
        <v>45998</v>
      </c>
      <c r="C99" s="3" t="s">
        <v>137</v>
      </c>
      <c r="D99" s="2" t="s">
        <v>15</v>
      </c>
      <c r="E99" s="2" t="s">
        <v>125</v>
      </c>
      <c r="F99" s="2" t="s">
        <v>11</v>
      </c>
      <c r="G99" s="2">
        <v>200</v>
      </c>
      <c r="H99" s="2">
        <v>30</v>
      </c>
      <c r="I99" s="2">
        <f t="shared" si="5"/>
        <v>6000</v>
      </c>
      <c r="J99" s="2">
        <v>720</v>
      </c>
      <c r="K99" s="19">
        <f t="shared" si="4"/>
        <v>0.12</v>
      </c>
      <c r="L99" s="5" t="s">
        <v>146</v>
      </c>
    </row>
    <row r="100" spans="1:12" x14ac:dyDescent="0.3">
      <c r="A100" s="4" t="s">
        <v>116</v>
      </c>
      <c r="B100" s="3">
        <v>45999</v>
      </c>
      <c r="C100" s="3" t="s">
        <v>137</v>
      </c>
      <c r="D100" s="2" t="s">
        <v>16</v>
      </c>
      <c r="E100" s="2" t="s">
        <v>126</v>
      </c>
      <c r="F100" s="2" t="s">
        <v>12</v>
      </c>
      <c r="G100" s="2">
        <v>165</v>
      </c>
      <c r="H100" s="2">
        <v>22</v>
      </c>
      <c r="I100" s="2">
        <f t="shared" si="5"/>
        <v>3630</v>
      </c>
      <c r="J100" s="2">
        <v>880</v>
      </c>
      <c r="K100" s="19">
        <f t="shared" si="4"/>
        <v>0.24242424242424243</v>
      </c>
      <c r="L100" s="5" t="s">
        <v>147</v>
      </c>
    </row>
    <row r="101" spans="1:12" x14ac:dyDescent="0.3">
      <c r="A101" s="10" t="s">
        <v>117</v>
      </c>
      <c r="B101" s="3">
        <v>46000</v>
      </c>
      <c r="C101" s="3" t="s">
        <v>137</v>
      </c>
      <c r="D101" s="11" t="s">
        <v>17</v>
      </c>
      <c r="E101" s="11" t="s">
        <v>127</v>
      </c>
      <c r="F101" s="11" t="s">
        <v>13</v>
      </c>
      <c r="G101" s="11">
        <v>240</v>
      </c>
      <c r="H101" s="11">
        <v>39</v>
      </c>
      <c r="I101" s="11">
        <f t="shared" si="5"/>
        <v>9360</v>
      </c>
      <c r="J101" s="11">
        <v>1340</v>
      </c>
      <c r="K101" s="19">
        <f t="shared" si="4"/>
        <v>0.14316239316239315</v>
      </c>
      <c r="L101" s="12" t="s">
        <v>148</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9DFD8-AC97-491F-9DF9-6926850A38C2}">
  <dimension ref="A2:K32"/>
  <sheetViews>
    <sheetView showGridLines="0" workbookViewId="0">
      <selection activeCell="A31" sqref="A31"/>
    </sheetView>
  </sheetViews>
  <sheetFormatPr defaultRowHeight="14.5" x14ac:dyDescent="0.35"/>
  <cols>
    <col min="1" max="1" width="16.08984375" bestFit="1" customWidth="1"/>
    <col min="2" max="2" width="15.1796875" bestFit="1" customWidth="1"/>
    <col min="3" max="3" width="11.90625" bestFit="1" customWidth="1"/>
    <col min="4" max="4" width="19.7265625" bestFit="1" customWidth="1"/>
    <col min="5" max="5" width="15" bestFit="1" customWidth="1"/>
    <col min="6" max="6" width="16.08984375" customWidth="1"/>
    <col min="7" max="7" width="11.08984375" bestFit="1" customWidth="1"/>
    <col min="8" max="8" width="15" bestFit="1" customWidth="1"/>
    <col min="10" max="10" width="15.6328125" bestFit="1" customWidth="1"/>
    <col min="11" max="11" width="15" bestFit="1" customWidth="1"/>
  </cols>
  <sheetData>
    <row r="2" spans="1:11" x14ac:dyDescent="0.35">
      <c r="A2" s="23" t="s">
        <v>162</v>
      </c>
      <c r="B2" s="23"/>
      <c r="C2" s="23"/>
      <c r="D2" s="23"/>
      <c r="E2" s="23"/>
      <c r="F2" s="23"/>
      <c r="G2" s="23"/>
      <c r="H2" s="23"/>
      <c r="I2" s="23"/>
      <c r="J2" s="23"/>
      <c r="K2" s="23"/>
    </row>
    <row r="3" spans="1:11" x14ac:dyDescent="0.35">
      <c r="A3" s="23"/>
      <c r="B3" s="23"/>
      <c r="C3" s="23"/>
      <c r="D3" s="23"/>
      <c r="E3" s="23"/>
      <c r="F3" s="23"/>
      <c r="G3" s="23"/>
      <c r="H3" s="23"/>
      <c r="I3" s="23"/>
      <c r="J3" s="23"/>
      <c r="K3" s="23"/>
    </row>
    <row r="4" spans="1:11" ht="25.5" x14ac:dyDescent="0.55000000000000004">
      <c r="A4" s="14"/>
      <c r="B4" s="14"/>
      <c r="C4" s="14"/>
      <c r="D4" s="14"/>
      <c r="E4" s="14"/>
      <c r="F4" s="14"/>
      <c r="G4" s="14"/>
      <c r="H4" s="14"/>
      <c r="I4" s="14"/>
      <c r="J4" s="14"/>
      <c r="K4" s="14"/>
    </row>
    <row r="6" spans="1:11" ht="15.5" x14ac:dyDescent="0.35">
      <c r="A6" s="20" t="s">
        <v>158</v>
      </c>
      <c r="B6" s="21"/>
      <c r="D6" s="20" t="s">
        <v>159</v>
      </c>
      <c r="E6" s="20"/>
      <c r="G6" s="22" t="s">
        <v>160</v>
      </c>
      <c r="H6" s="22"/>
      <c r="J6" s="20" t="s">
        <v>161</v>
      </c>
      <c r="K6" s="20"/>
    </row>
    <row r="7" spans="1:11" x14ac:dyDescent="0.35">
      <c r="A7" s="15" t="s">
        <v>155</v>
      </c>
      <c r="B7" s="13" t="s">
        <v>154</v>
      </c>
      <c r="D7" s="17" t="s">
        <v>156</v>
      </c>
      <c r="E7" s="18" t="s">
        <v>154</v>
      </c>
      <c r="G7" s="17" t="s">
        <v>2</v>
      </c>
      <c r="H7" s="18" t="s">
        <v>154</v>
      </c>
      <c r="J7" s="17" t="s">
        <v>157</v>
      </c>
      <c r="K7" s="18" t="s">
        <v>154</v>
      </c>
    </row>
    <row r="8" spans="1:11" x14ac:dyDescent="0.35">
      <c r="A8" s="16" t="s">
        <v>153</v>
      </c>
      <c r="B8" s="25">
        <v>142320</v>
      </c>
      <c r="D8" s="18" t="s">
        <v>10</v>
      </c>
      <c r="E8" s="26">
        <v>66760</v>
      </c>
      <c r="G8" s="18" t="s">
        <v>14</v>
      </c>
      <c r="H8" s="26">
        <v>136630</v>
      </c>
      <c r="J8" s="18" t="s">
        <v>124</v>
      </c>
      <c r="K8" s="26">
        <v>66760</v>
      </c>
    </row>
    <row r="9" spans="1:11" x14ac:dyDescent="0.35">
      <c r="A9" s="16" t="s">
        <v>135</v>
      </c>
      <c r="B9" s="25">
        <v>161335</v>
      </c>
      <c r="D9" s="18" t="s">
        <v>6</v>
      </c>
      <c r="E9" s="26">
        <v>64460</v>
      </c>
      <c r="G9" s="18" t="s">
        <v>15</v>
      </c>
      <c r="H9" s="26">
        <v>131065</v>
      </c>
      <c r="J9" s="18" t="s">
        <v>120</v>
      </c>
      <c r="K9" s="26">
        <v>64460</v>
      </c>
    </row>
    <row r="10" spans="1:11" x14ac:dyDescent="0.35">
      <c r="A10" s="16" t="s">
        <v>136</v>
      </c>
      <c r="B10" s="25">
        <v>154735</v>
      </c>
      <c r="D10" s="18" t="s">
        <v>11</v>
      </c>
      <c r="E10" s="26">
        <v>56500</v>
      </c>
      <c r="G10" s="18" t="s">
        <v>16</v>
      </c>
      <c r="H10" s="26">
        <v>125880</v>
      </c>
      <c r="J10" s="18" t="s">
        <v>125</v>
      </c>
      <c r="K10" s="26">
        <v>56500</v>
      </c>
    </row>
    <row r="11" spans="1:11" x14ac:dyDescent="0.35">
      <c r="A11" s="16" t="s">
        <v>137</v>
      </c>
      <c r="B11" s="25">
        <v>53675</v>
      </c>
      <c r="D11" s="18" t="s">
        <v>5</v>
      </c>
      <c r="E11" s="26">
        <v>53825</v>
      </c>
      <c r="G11" s="18" t="s">
        <v>17</v>
      </c>
      <c r="H11" s="26">
        <v>118490</v>
      </c>
      <c r="J11" s="18" t="s">
        <v>119</v>
      </c>
      <c r="K11" s="26">
        <v>53825</v>
      </c>
    </row>
    <row r="12" spans="1:11" x14ac:dyDescent="0.35">
      <c r="A12" s="16" t="s">
        <v>152</v>
      </c>
      <c r="B12" s="25">
        <v>512065</v>
      </c>
      <c r="D12" s="18" t="s">
        <v>12</v>
      </c>
      <c r="E12" s="26">
        <v>48765</v>
      </c>
      <c r="G12" s="18" t="s">
        <v>152</v>
      </c>
      <c r="H12" s="26">
        <v>512065</v>
      </c>
      <c r="J12" s="18" t="s">
        <v>126</v>
      </c>
      <c r="K12" s="26">
        <v>48765</v>
      </c>
    </row>
    <row r="13" spans="1:11" x14ac:dyDescent="0.35">
      <c r="D13" s="18" t="s">
        <v>7</v>
      </c>
      <c r="E13" s="26">
        <v>48505</v>
      </c>
      <c r="J13" s="18" t="s">
        <v>121</v>
      </c>
      <c r="K13" s="26">
        <v>48505</v>
      </c>
    </row>
    <row r="14" spans="1:11" x14ac:dyDescent="0.35">
      <c r="D14" s="18" t="s">
        <v>9</v>
      </c>
      <c r="E14" s="26">
        <v>47835</v>
      </c>
      <c r="J14" s="18" t="s">
        <v>123</v>
      </c>
      <c r="K14" s="26">
        <v>47835</v>
      </c>
    </row>
    <row r="15" spans="1:11" x14ac:dyDescent="0.35">
      <c r="D15" s="18" t="s">
        <v>13</v>
      </c>
      <c r="E15" s="26">
        <v>42890</v>
      </c>
      <c r="J15" s="18" t="s">
        <v>127</v>
      </c>
      <c r="K15" s="26">
        <v>42890</v>
      </c>
    </row>
    <row r="16" spans="1:11" x14ac:dyDescent="0.35">
      <c r="D16" s="18" t="s">
        <v>8</v>
      </c>
      <c r="E16" s="26">
        <v>42875</v>
      </c>
      <c r="J16" s="18" t="s">
        <v>122</v>
      </c>
      <c r="K16" s="26">
        <v>42875</v>
      </c>
    </row>
    <row r="17" spans="1:11" x14ac:dyDescent="0.35">
      <c r="D17" s="18" t="s">
        <v>4</v>
      </c>
      <c r="E17" s="26">
        <v>39650</v>
      </c>
      <c r="J17" s="18" t="s">
        <v>118</v>
      </c>
      <c r="K17" s="26">
        <v>39650</v>
      </c>
    </row>
    <row r="18" spans="1:11" x14ac:dyDescent="0.35">
      <c r="D18" s="18" t="s">
        <v>152</v>
      </c>
      <c r="E18" s="26">
        <v>512065</v>
      </c>
      <c r="J18" s="18" t="s">
        <v>152</v>
      </c>
      <c r="K18" s="26">
        <v>512065</v>
      </c>
    </row>
    <row r="31" spans="1:11" x14ac:dyDescent="0.35">
      <c r="A31" t="s">
        <v>149</v>
      </c>
      <c r="B31" t="s">
        <v>164</v>
      </c>
      <c r="C31" t="s">
        <v>150</v>
      </c>
    </row>
    <row r="32" spans="1:11" x14ac:dyDescent="0.35">
      <c r="A32" s="24">
        <v>512065</v>
      </c>
      <c r="B32" s="24">
        <v>2619</v>
      </c>
      <c r="C32" s="24">
        <v>103720</v>
      </c>
    </row>
  </sheetData>
  <mergeCells count="5">
    <mergeCell ref="A6:B6"/>
    <mergeCell ref="D6:E6"/>
    <mergeCell ref="G6:H6"/>
    <mergeCell ref="J6:K6"/>
    <mergeCell ref="A2: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43B0E-0F01-40A6-BEB7-46DF5BCEFD0A}">
  <dimension ref="A1:L6"/>
  <sheetViews>
    <sheetView showGridLines="0" tabSelected="1" zoomScale="56" zoomScaleNormal="56" workbookViewId="0">
      <selection activeCell="S16" sqref="S16"/>
    </sheetView>
  </sheetViews>
  <sheetFormatPr defaultRowHeight="14.5" x14ac:dyDescent="0.35"/>
  <cols>
    <col min="1" max="1" width="16.36328125" bestFit="1" customWidth="1"/>
    <col min="2" max="2" width="22" bestFit="1" customWidth="1"/>
    <col min="4" max="4" width="14.6328125" bestFit="1" customWidth="1"/>
    <col min="5" max="5" width="22" bestFit="1" customWidth="1"/>
    <col min="6" max="6" width="16.81640625" bestFit="1" customWidth="1"/>
    <col min="7" max="7" width="8.54296875" customWidth="1"/>
    <col min="8" max="8" width="23.1796875" customWidth="1"/>
    <col min="9" max="9" width="13.26953125" bestFit="1" customWidth="1"/>
    <col min="10" max="10" width="7.26953125" customWidth="1"/>
    <col min="11" max="11" width="22.08984375" customWidth="1"/>
  </cols>
  <sheetData>
    <row r="1" spans="1:12" x14ac:dyDescent="0.35">
      <c r="A1" s="32" t="s">
        <v>151</v>
      </c>
      <c r="B1" s="32"/>
      <c r="C1" s="32"/>
      <c r="D1" s="32"/>
      <c r="E1" s="32"/>
      <c r="F1" s="32"/>
      <c r="G1" s="32"/>
      <c r="H1" s="32"/>
      <c r="I1" s="32"/>
      <c r="J1" s="32"/>
      <c r="K1" s="32"/>
      <c r="L1" s="32"/>
    </row>
    <row r="2" spans="1:12" x14ac:dyDescent="0.35">
      <c r="A2" s="32"/>
      <c r="B2" s="32"/>
      <c r="C2" s="32"/>
      <c r="D2" s="32"/>
      <c r="E2" s="32"/>
      <c r="F2" s="32"/>
      <c r="G2" s="32"/>
      <c r="H2" s="32"/>
      <c r="I2" s="32"/>
      <c r="J2" s="32"/>
      <c r="K2" s="32"/>
      <c r="L2" s="32"/>
    </row>
    <row r="3" spans="1:12" ht="15" thickBot="1" x14ac:dyDescent="0.4">
      <c r="A3" s="32"/>
      <c r="B3" s="32"/>
      <c r="C3" s="32"/>
      <c r="D3" s="32"/>
      <c r="E3" s="32"/>
      <c r="F3" s="32"/>
      <c r="G3" s="32"/>
      <c r="H3" s="32"/>
      <c r="I3" s="32"/>
      <c r="J3" s="32"/>
      <c r="K3" s="32"/>
      <c r="L3" s="32"/>
    </row>
    <row r="4" spans="1:12" ht="21" customHeight="1" x14ac:dyDescent="0.35">
      <c r="B4" s="27" t="s">
        <v>163</v>
      </c>
      <c r="E4" s="27" t="s">
        <v>167</v>
      </c>
      <c r="H4" s="27" t="s">
        <v>166</v>
      </c>
      <c r="K4" s="27" t="s">
        <v>165</v>
      </c>
    </row>
    <row r="5" spans="1:12" ht="21" customHeight="1" x14ac:dyDescent="0.35">
      <c r="B5" s="28"/>
      <c r="E5" s="28"/>
      <c r="H5" s="28"/>
      <c r="K5" s="28"/>
    </row>
    <row r="6" spans="1:12" ht="24" thickBot="1" x14ac:dyDescent="0.6">
      <c r="B6" s="29">
        <f>GETPIVOTDATA("Sum of Total Sales",'Pivot chart'!$A$31)</f>
        <v>512065</v>
      </c>
      <c r="E6" s="29">
        <f>GETPIVOTDATA("Sum of Profit ",'Pivot chart'!$A$31)</f>
        <v>103720</v>
      </c>
      <c r="H6" s="30">
        <f>GETPIVOTDATA("Sum of Unit_Sold",'Pivot chart'!$A$31)</f>
        <v>2619</v>
      </c>
      <c r="K6" s="31">
        <f>Data!J70/Data!I70</f>
        <v>0.90659340659340659</v>
      </c>
    </row>
  </sheetData>
  <mergeCells count="5">
    <mergeCell ref="A1:L3"/>
    <mergeCell ref="B4:B5"/>
    <mergeCell ref="E4:E5"/>
    <mergeCell ref="H4:H5"/>
    <mergeCell ref="K4:K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chart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dc:creator>
  <cp:lastModifiedBy>Anjali ~</cp:lastModifiedBy>
  <dcterms:created xsi:type="dcterms:W3CDTF">2026-02-18T09:16:06Z</dcterms:created>
  <dcterms:modified xsi:type="dcterms:W3CDTF">2026-02-20T11:33:22Z</dcterms:modified>
</cp:coreProperties>
</file>